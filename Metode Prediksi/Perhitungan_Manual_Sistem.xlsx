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Bobot_Filter" sheetId="3" state="visible" r:id="rId5"/>
    <sheet name="TES_NasiGoreng_Uji" sheetId="4" state="visible" r:id="rId6"/>
    <sheet name="TES_NasiGoreng" sheetId="5" state="visible" r:id="rId7"/>
    <sheet name="TES_MieGoreng_Uji" sheetId="6" state="visible" r:id="rId8"/>
    <sheet name="TES_MieGoreng" sheetId="7" state="visible" r:id="rId9"/>
    <sheet name="Census_NasiGoreng_Uji" sheetId="8" state="visible" r:id="rId10"/>
    <sheet name="Census_NasiGoreng" sheetId="9" state="visible" r:id="rId11"/>
    <sheet name="Census_MieGoreng_Uji" sheetId="10" state="visible" r:id="rId12"/>
    <sheet name="Census_MieGoreng" sheetId="11" state="visible" r:id="rId13"/>
    <sheet name="Pilih_Metode" sheetId="12" state="visible" r:id="rId14"/>
    <sheet name="Prediksi_Periode" sheetId="13" state="visible" r:id="rId15"/>
    <sheet name="Kebutuhan_Bahan" sheetId="14" state="visible" r:id="rId16"/>
    <sheet name="Riwayat_Bahan" sheetId="15" state="visible" r:id="rId17"/>
    <sheet name="Restock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<sst xmlns="http://schemas.openxmlformats.org/spreadsheetml/2006/main" count="667" uniqueCount="184">
  <si>
    <t xml:space="preserve">PERHITUNGAN MANUAL SISTEM - Peramalan, Kebutuhan Bahan, Safety Stock, ROP, Rekomendasi Beli</t>
  </si>
  <si>
    <t xml:space="preserve">Restoran X | contoh 2 menu (Nasi Goreng Spesial, Mie Goreng Spesial) | data dummy versi 2: Jun 2021 - Mei 2026 (60 bulan)</t>
  </si>
  <si>
    <t xml:space="preserve">ALUR SHEET</t>
  </si>
  <si>
    <t xml:space="preserve">Data (input) &gt; TES_*_Uji dan Census_*_Uji: model dilatih 48 bulan, diuji 12 bulan &gt; Pilih_Metode: MAPE holdout terendah (seri = TES) &gt; TES_* dan Census_* (final): dilatih ulang 60 bulan, ramal 12 bulan ke depan</t>
  </si>
  <si>
    <t xml:space="preserve">&gt; Prediksi_Periode: hasil untuk tgl_awal-tgl_akhir &gt; Kebutuhan_Bahan: KB = jumlah(BOM x prediksi) &gt; Riwayat_Bahan: pemakaian historis &amp; Dmax &gt; Restock: SS, ROP, status, jumlah beli. Bobot_Filter: bobot MA/Henderson/musiman.</t>
  </si>
  <si>
    <t xml:space="preserve">KEPUTUSAN MODEL</t>
  </si>
  <si>
    <t xml:space="preserve">Model MULTIPLIKATIF untuk TES dan Census II, dengan alasan teoretis: efek musiman berupa persentase dari level (Ramadan, Desember, Januari, dst.), sehingga amplitudonya ikut naik bila level naik, dan efeknya sebanding antar menu yang volumenya berbeda.</t>
  </si>
  <si>
    <t xml:space="preserve">Uji empiris pada 53 menu (holdout 12 bulan) hampir seri: TES multiplikatif menang di 21 menu (median MAPE 6.75% vs aditif 6.70%); Census II multiplikatif menang di 4 menu (median 8.34% vs aditif 8.11%). Jadi pilihan ini bertumpu pada sifat data, bukan hasil uji.</t>
  </si>
  <si>
    <t xml:space="preserve">Kelemahan multiplikatif: tidak bisa untuk nilai &lt;= 0 (tidak terjadi pada penjualan). Kelebihan aditif: lebih sederhana bila amplitudo musiman konstan.</t>
  </si>
  <si>
    <t xml:space="preserve">Filter musiman: iterasi 1 memakai 3x3, iterasi 2 memakai 3x5 (urutan standar X-11). Tren memakai Henderson 13 suku.</t>
  </si>
  <si>
    <t xml:space="preserve">ASUMSI &amp; KETERBATASAN (baca sebelum dipakai)</t>
  </si>
  <si>
    <t xml:space="preserve">1. MAPE dihitung pada holdout (latih t=1..48, uji t=49..60), lalu model final dilatih ulang dengan seluruh 60 bulan. alpha/beta/gamma hasil optimasi SSE di Python (dibulatkan); sistem nanti mengoptimasi sendiri.</t>
  </si>
  <si>
    <t xml:space="preserve">2. Ramadan/Idul Fitri bergeser sekitar 11 hari lebih awal tiap tahun, sedangkan TES dan Census II mengulang pola bulan kalender yang sama. Pada holdout, lonjakan Feb-Mar 2026 tidak sama dengan Mar 2025, sehingga MAPE bulan itu besar. Ini justru alasan fitur event; faktor event BELUM dimasukkan (mekanismenya belum final).</t>
  </si>
  <si>
    <t xml:space="preserve">3. Ujung data: bobot filter yang tidak tersedia dibuang dan sisanya dinormalisasi ulang (bukan bobot asimetris Musgrave X-11). Tidak ada deteksi/penggantian nilai ekstrem dan trading-day. Tren Henderson diekstrapolasi linear.</t>
  </si>
  <si>
    <t xml:space="preserve">4. Inisialisasi TES memakai cara buku teks (lihat sheet TES) sehingga bisa berbeda dari statsmodels.</t>
  </si>
  <si>
    <t xml:space="preserve">5. Model meramal per bulan; periode bebas (tgl_awal-tgl_akhir) dihitung prorata hari. Ini asumsi, belum dikonfirmasi dosen.</t>
  </si>
  <si>
    <t xml:space="preserve">6. BOM, lead time, dan total_stok adalah contoh dummy. Q = MAX(0, KB - total_stok) adalah usulan yang belum dikonfirmasi dosen.</t>
  </si>
  <si>
    <t xml:space="preserve">LEGENDA WARNA</t>
  </si>
  <si>
    <t xml:space="preserve">Font biru = input/konstanta | Hitam = rumus | Hijau = tautan dari sheet lain | Sel kuning = asumsi/isian yang perlu Anda ganti.</t>
  </si>
  <si>
    <t xml:space="preserve">DATA PENJUALAN BULANAN (porsi) - input</t>
  </si>
  <si>
    <t xml:space="preserve">Sumber: data_penjualan_restoran_x_v2.xlsx (data dummy versi 2, Jun 2021 - Mei 2026), menu No.1 dan No.4. Nilai disalin apa adanya.</t>
  </si>
  <si>
    <t xml:space="preserve">t</t>
  </si>
  <si>
    <t xml:space="preserve">Periode</t>
  </si>
  <si>
    <t xml:space="preserve">Hari dlm bulan</t>
  </si>
  <si>
    <t xml:space="preserve">Nasi Goreng Spesial</t>
  </si>
  <si>
    <t xml:space="preserve">Mie Goreng Spesial</t>
  </si>
  <si>
    <t xml:space="preserve">BOBOT FILTER (definisi tetap)</t>
  </si>
  <si>
    <t xml:space="preserve">MA 2x12 (13 suku)</t>
  </si>
  <si>
    <t xml:space="preserve">k=-6</t>
  </si>
  <si>
    <t xml:space="preserve">k=-5</t>
  </si>
  <si>
    <t xml:space="preserve">k=-4</t>
  </si>
  <si>
    <t xml:space="preserve">k=-3</t>
  </si>
  <si>
    <t xml:space="preserve">k=-2</t>
  </si>
  <si>
    <t xml:space="preserve">k=-1</t>
  </si>
  <si>
    <t xml:space="preserve">k=0</t>
  </si>
  <si>
    <t xml:space="preserve">k=1</t>
  </si>
  <si>
    <t xml:space="preserve">k=2</t>
  </si>
  <si>
    <t xml:space="preserve">k=3</t>
  </si>
  <si>
    <t xml:space="preserve">k=4</t>
  </si>
  <si>
    <t xml:space="preserve">k=5</t>
  </si>
  <si>
    <t xml:space="preserve">k=6</t>
  </si>
  <si>
    <t xml:space="preserve">Jumlah</t>
  </si>
  <si>
    <t xml:space="preserve">Henderson 13 suku: r = m+2, m = 6</t>
  </si>
  <si>
    <t xml:space="preserve">w(j) = 315[(r-1)^2-j^2][r^2-j^2][(r+1)^2-j^2][3r^2-16-11j^2] / (8r(r^2-1)(4r^2-1)(4r^2-9)(4r^2-25))</t>
  </si>
  <si>
    <t xml:space="preserve">Filter musiman 3x3 (5 suku, selang 12 bulan)</t>
  </si>
  <si>
    <t xml:space="preserve">Offset (bulan)</t>
  </si>
  <si>
    <t xml:space="preserve">Bobot</t>
  </si>
  <si>
    <t xml:space="preserve">Filter musiman 3x5 (7 suku, selang 12 bulan)</t>
  </si>
  <si>
    <t xml:space="preserve">TRIPLE EXPONENTIAL SMOOTHING (Holt-Winters multiplikatif) - Nasi Goreng Spesial - UJI (latih t=1..48, uji t=49..60)</t>
  </si>
  <si>
    <t xml:space="preserve">alpha (level)</t>
  </si>
  <si>
    <t xml:space="preserve">alpha/beta/gamma = hasil optimasi SSE (Python, L-BFGS-B, batas 0,01-0,99) pada data latih t=1..48, dibulatkan 2 desimal. Bisa diganti manual; di Excel bisa dioptimasi dengan Solver pada B9.</t>
  </si>
  <si>
    <t xml:space="preserve">beta (tren)</t>
  </si>
  <si>
    <t xml:space="preserve">Inisialisasi: L12 = rata-rata musim 1; b12 = (rata-rata musim 2 - rata-rata musim 1)/m; S_t = Y_t/L12 (t=1..12).</t>
  </si>
  <si>
    <t xml:space="preserve">gamma (musiman)</t>
  </si>
  <si>
    <t xml:space="preserve">F_t=(L_(t-1)+b_(t-1))*S_(t-m); L_t=a*Y_t/S_(t-m)+(1-a)(L_(t-1)+b_(t-1)); b_t=b(L_t-L_(t-1))+(1-b)b_(t-1); S_t=g*Y_t/L_t+(1-g)S_(t-m).</t>
  </si>
  <si>
    <t xml:space="preserve">m (panjang musim)</t>
  </si>
  <si>
    <t xml:space="preserve">Ramalan: F_(n+h) = (L_n + h*b_n)*S_(n+h-m), n=48. Baris ramalan dibandingkan dengan aktual (holdout).</t>
  </si>
  <si>
    <t xml:space="preserve">MAPE holdout (t=49..60)</t>
  </si>
  <si>
    <t xml:space="preserve">MAPE in-sample (t=13..48)</t>
  </si>
  <si>
    <t xml:space="preserve">SSE in-sample (t=13..48)</t>
  </si>
  <si>
    <t xml:space="preserve">Aktual (Y)</t>
  </si>
  <si>
    <t xml:space="preserve">Level (L)</t>
  </si>
  <si>
    <t xml:space="preserve">Tren (b)</t>
  </si>
  <si>
    <t xml:space="preserve">Musiman (S)</t>
  </si>
  <si>
    <t xml:space="preserve">Fitted / Ramalan</t>
  </si>
  <si>
    <t xml:space="preserve">APE</t>
  </si>
  <si>
    <t xml:space="preserve">Tahap</t>
  </si>
  <si>
    <t xml:space="preserve">Inisialisasi</t>
  </si>
  <si>
    <t xml:space="preserve">Smoothing</t>
  </si>
  <si>
    <t xml:space="preserve">Ramalan (holdout)</t>
  </si>
  <si>
    <t xml:space="preserve">TRIPLE EXPONENTIAL SMOOTHING (Holt-Winters multiplikatif) - Nasi Goreng Spesial - FINAL (latih semua 60 bulan, ramal 12 bulan ke depan)</t>
  </si>
  <si>
    <t xml:space="preserve">alpha/beta/gamma = hasil optimasi SSE (Python, L-BFGS-B, batas 0,01-0,99) pada data latih t=1..60, dibulatkan 2 desimal. Bisa diganti manual; di Excel bisa dioptimasi dengan Solver pada B9.</t>
  </si>
  <si>
    <t xml:space="preserve">Ramalan: F_(n+h) = (L_n + h*b_n)*S_(n+h-m), n=60.</t>
  </si>
  <si>
    <t xml:space="preserve">MAPE holdout</t>
  </si>
  <si>
    <t xml:space="preserve">n/a (lihat sheet _Uji)</t>
  </si>
  <si>
    <t xml:space="preserve">MAPE in-sample (t=13..60)</t>
  </si>
  <si>
    <t xml:space="preserve">SSE in-sample (t=13..60)</t>
  </si>
  <si>
    <t xml:space="preserve">Ramalan</t>
  </si>
  <si>
    <t xml:space="preserve">TRIPLE EXPONENTIAL SMOOTHING (Holt-Winters multiplikatif) - Mie Goreng Spesial - UJI (latih t=1..48, uji t=49..60)</t>
  </si>
  <si>
    <t xml:space="preserve">TRIPLE EXPONENTIAL SMOOTHING (Holt-Winters multiplikatif) - Mie Goreng Spesial - FINAL (latih semua 60 bulan, ramal 12 bulan ke depan)</t>
  </si>
  <si>
    <t xml:space="preserve">DEKOMPOSISI CENSUS II (X-11 sederhana, multiplikatif) - Nasi Goreng Spesial - UJI (latih t=1..48, uji t=49..60)</t>
  </si>
  <si>
    <t xml:space="preserve">Slope tren (per bulan)</t>
  </si>
  <si>
    <t xml:space="preserve">Langkah: (1) tren awal = MA 2x12; (2) SI = Y/tren; (3) musiman awal = filter 3x3 pada SI per bulan kalender, dinormalisasi MA 2x12; (4) Y disesuaikan = Y/S;</t>
  </si>
  <si>
    <t xml:space="preserve">Intersep tren</t>
  </si>
  <si>
    <t xml:space="preserve">(5) tren = Henderson 13 pada Y disesuaikan; (6) ulangi dengan filter 3x5 -&gt; S final &amp; tren final; (7) tren diekstrapolasi linear (SLOPE/INTERCEPT atas tren Henderson).</t>
  </si>
  <si>
    <t xml:space="preserve">Fitted/Ramalan = tren linear x S final (bulan ke depan memakai S bulan kalender yang sama). Di ujung data, bobot filter yang tidak tersedia dibuang &amp; sisanya dinormalisasi ulang.</t>
  </si>
  <si>
    <t xml:space="preserve">t pertama tren tersedia</t>
  </si>
  <si>
    <t xml:space="preserve">Kolom kosong = nilai belum tersedia (tepi data). Bobot filter di sheet Bobot_Filter.</t>
  </si>
  <si>
    <t xml:space="preserve">t terakhir tren tersedia</t>
  </si>
  <si>
    <t xml:space="preserve">n (jumlah data latih)</t>
  </si>
  <si>
    <t xml:space="preserve">Data</t>
  </si>
  <si>
    <t xml:space="preserve">Iterasi 1 (musiman 3x3)</t>
  </si>
  <si>
    <t xml:space="preserve">Iterasi 2 (musiman 3x5) &amp; hasil final</t>
  </si>
  <si>
    <t xml:space="preserve">Y</t>
  </si>
  <si>
    <t xml:space="preserve">T1: MA 2x12</t>
  </si>
  <si>
    <t xml:space="preserve">SI1 = Y/T1</t>
  </si>
  <si>
    <t xml:space="preserve">SI1 t-24</t>
  </si>
  <si>
    <t xml:space="preserve">SI1 t-12</t>
  </si>
  <si>
    <t xml:space="preserve">SI1 t</t>
  </si>
  <si>
    <t xml:space="preserve">SI1 t+12</t>
  </si>
  <si>
    <t xml:space="preserve">SI1 t+24</t>
  </si>
  <si>
    <t xml:space="preserve">S1 mentah (3x3)</t>
  </si>
  <si>
    <t xml:space="preserve">MA 2x12 dari S1</t>
  </si>
  <si>
    <t xml:space="preserve">S1 (dinormalisasi)</t>
  </si>
  <si>
    <t xml:space="preserve">A1 = Y/S1</t>
  </si>
  <si>
    <t xml:space="preserve">T2: Henderson 13</t>
  </si>
  <si>
    <t xml:space="preserve">SI2 = Y/T2</t>
  </si>
  <si>
    <t xml:space="preserve">SI2 t-36</t>
  </si>
  <si>
    <t xml:space="preserve">SI2 t-24</t>
  </si>
  <si>
    <t xml:space="preserve">SI2 t-12</t>
  </si>
  <si>
    <t xml:space="preserve">SI2 t</t>
  </si>
  <si>
    <t xml:space="preserve">SI2 t+12</t>
  </si>
  <si>
    <t xml:space="preserve">SI2 t+24</t>
  </si>
  <si>
    <t xml:space="preserve">SI2 t+36</t>
  </si>
  <si>
    <t xml:space="preserve">S2 mentah (3x5)</t>
  </si>
  <si>
    <t xml:space="preserve">MA 2x12 dari S2</t>
  </si>
  <si>
    <t xml:space="preserve">S2 final</t>
  </si>
  <si>
    <t xml:space="preserve">A2 = Y/S2</t>
  </si>
  <si>
    <t xml:space="preserve">T3: tren final (Henderson 13)</t>
  </si>
  <si>
    <t xml:space="preserve">I = A2/T3</t>
  </si>
  <si>
    <t xml:space="preserve">Tren linear</t>
  </si>
  <si>
    <t xml:space="preserve">DEKOMPOSISI CENSUS II (X-11 sederhana, multiplikatif) - Nasi Goreng Spesial - FINAL (latih 60 bulan, ramal 12 bulan ke depan)</t>
  </si>
  <si>
    <t xml:space="preserve">DEKOMPOSISI CENSUS II (X-11 sederhana, multiplikatif) - Mie Goreng Spesial - UJI (latih t=1..48, uji t=49..60)</t>
  </si>
  <si>
    <t xml:space="preserve">DEKOMPOSISI CENSUS II (X-11 sederhana, multiplikatif) - Mie Goreng Spesial - FINAL (latih 60 bulan, ramal 12 bulan ke depan)</t>
  </si>
  <si>
    <t xml:space="preserve">PEMILIHAN METODE: MAPE holdout terendah (jika sama -&gt; TES)</t>
  </si>
  <si>
    <t xml:space="preserve">Menu</t>
  </si>
  <si>
    <t xml:space="preserve">MAPE TES (holdout)</t>
  </si>
  <si>
    <t xml:space="preserve">MAPE Census II (holdout)</t>
  </si>
  <si>
    <t xml:space="preserve">Metode terpilih</t>
  </si>
  <si>
    <t xml:space="preserve">Uji: model dilatih pada t=1..48 (Jun 2021-Mei 2025), diuji pada 12 bulan berikutnya (Jun 2025-Mei 2026). Metode terpilih lalu dipakai pada model final yang dilatih ulang dengan 60 bulan.</t>
  </si>
  <si>
    <t xml:space="preserve">PREDIKSI UNTUK PERIODE YANG DIINPUT (tgl_awal - tgl_akhir)</t>
  </si>
  <si>
    <t xml:space="preserve">tgl_awal</t>
  </si>
  <si>
    <t xml:space="preserve">Model meramal per bulan; untuk periode bebas, ramalan tiap bulan dibagi prorata hari yang beririsan dengan periode (asumsi, belum dikonfirmasi dosen).</t>
  </si>
  <si>
    <t xml:space="preserve">tgl_akhir</t>
  </si>
  <si>
    <t xml:space="preserve">Contoh: ubah ke 15-Jun-2026 s/d 14-Jul-2026 untuk melihat prorata. Ramalan diambil dari model FINAL (latih 60 bulan).</t>
  </si>
  <si>
    <t xml:space="preserve">Jumlah hari periode</t>
  </si>
  <si>
    <t xml:space="preserve">Hari tercakup horizon ramalan</t>
  </si>
  <si>
    <t xml:space="preserve">Bulan ramalan</t>
  </si>
  <si>
    <t xml:space="preserve">Hari beririsan</t>
  </si>
  <si>
    <t xml:space="preserve">Bobot (irisan/hari)</t>
  </si>
  <si>
    <t xml:space="preserve">TES</t>
  </si>
  <si>
    <t xml:space="preserve">Census II</t>
  </si>
  <si>
    <t xml:space="preserve">Terpilih</t>
  </si>
  <si>
    <t xml:space="preserve">Prediksi periode (porsi)</t>
  </si>
  <si>
    <t xml:space="preserve">Kolom Terpilih inilah yang disimpan sebagai hasil_prediksi dan dipakai untuk kebutuhan bahan.</t>
  </si>
  <si>
    <t xml:space="preserve">KEBUTUHAN BAHAN BAKU: KB = jumlah (BOM x prediksi) dari semua menu pemakai</t>
  </si>
  <si>
    <t xml:space="preserve">BOM di bawah adalah CONTOH DUMMY (SOP asli rahasia) - ganti dengan BOM sebenarnya.</t>
  </si>
  <si>
    <t xml:space="preserve">Prediksi periode (porsi) &gt;</t>
  </si>
  <si>
    <t xml:space="preserve">Bahan baku</t>
  </si>
  <si>
    <t xml:space="preserve">Satuan dasar</t>
  </si>
  <si>
    <t xml:space="preserve">BOM Nasi Goreng Spesial (per porsi)</t>
  </si>
  <si>
    <t xml:space="preserve">BOM Mie Goreng Spesial (per porsi)</t>
  </si>
  <si>
    <t xml:space="preserve">Kebutuhan bahan KB (satuan dasar)</t>
  </si>
  <si>
    <t xml:space="preserve">Beras</t>
  </si>
  <si>
    <t xml:space="preserve">g</t>
  </si>
  <si>
    <t xml:space="preserve">Mie basah</t>
  </si>
  <si>
    <t xml:space="preserve">Telur</t>
  </si>
  <si>
    <t xml:space="preserve">pcs</t>
  </si>
  <si>
    <t xml:space="preserve">Minyak goreng</t>
  </si>
  <si>
    <t xml:space="preserve">ml</t>
  </si>
  <si>
    <t xml:space="preserve">Ayam suwir</t>
  </si>
  <si>
    <t xml:space="preserve">RIWAYAT PEMAKAIAN BAHAN (BOM x penjualan aktual) &amp; Dmax</t>
  </si>
  <si>
    <t xml:space="preserve">Dmax = pemakaian per hari tertinggi selama histori (pemakaian bulanan / jumlah hari bulan itu).</t>
  </si>
  <si>
    <t xml:space="preserve">Hari</t>
  </si>
  <si>
    <t xml:space="preserve">Dmax / hari</t>
  </si>
  <si>
    <t xml:space="preserve">Bulan terjadinya</t>
  </si>
  <si>
    <t xml:space="preserve">SAFETY STOCK, REORDER POINT, STATUS &amp; REKOMENDASI JUMLAH BELI</t>
  </si>
  <si>
    <t xml:space="preserve">Lead time dan total_stok adalah CONTOH DUMMY - ganti dengan data sebenarnya.</t>
  </si>
  <si>
    <t xml:space="preserve">Satuan</t>
  </si>
  <si>
    <t xml:space="preserve">KB periode (kebutuhan)</t>
  </si>
  <si>
    <t xml:space="preserve">Hari periode</t>
  </si>
  <si>
    <t xml:space="preserve">D prediksi / hari</t>
  </si>
  <si>
    <t xml:space="preserve">D max / hari</t>
  </si>
  <si>
    <t xml:space="preserve">Lead time L (hari)</t>
  </si>
  <si>
    <t xml:space="preserve">Safety stock SS</t>
  </si>
  <si>
    <t xml:space="preserve">Reorder point ROP</t>
  </si>
  <si>
    <t xml:space="preserve">total_stok saat ini</t>
  </si>
  <si>
    <t xml:space="preserve">Status</t>
  </si>
  <si>
    <t xml:space="preserve">Rekomendasi jumlah beli Q</t>
  </si>
  <si>
    <t xml:space="preserve">Cek SS</t>
  </si>
  <si>
    <t xml:space="preserve">SS = (Dmax - Dprediksi) x L  (rumus 2.1);  ROP = Dprediksi x L + SS  (rumus 2.2).</t>
  </si>
  <si>
    <t xml:space="preserve">Status: RESTOCK bila total_stok &lt;= ROP (pengecekan malam hari).</t>
  </si>
  <si>
    <t xml:space="preserve">Rekomendasi jumlah beli Q = MAX(0, KB - total_stok), ditampilkan bila status RESTOCK (0 bila Aman). Rumus Q adalah USULAN, belum dikonfirmasi dosen; stok_onorder_supplier belum diperhitungkan.</t>
  </si>
  <si>
    <t xml:space="preserve">Dprediksi = KB / jumlah hari periode. Dmax = pemakaian harian tertinggi historis (sheet Riwayat_Bahan). SS tidak dibatasi &gt;= 0; kolom Cek SS menandai bila negatif.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</si>
</sst>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mmm\-yyyy"/>
    <numFmt numFmtId="167" formatCode="#,##0"/>
    <numFmt numFmtId="168" formatCode="0.00000"/>
    <numFmt numFmtId="169" formatCode="0.0000"/>
    <numFmt numFmtId="170" formatCode="0.00"/>
    <numFmt numFmtId="171" formatCode="0.00%"/>
    <numFmt numFmtId="172" formatCode="#,##0.0"/>
    <numFmt numFmtId="173" formatCode="mmm\-yy"/>
    <numFmt numFmtId="174" formatCode="dd\-mmm\-yyyy"/>
    <numFmt numFmtId="175" formatCode="0.000"/>
    <numFmt numFmtId="176" formatCode="0.0"/>
    <numFmt numFmtId="17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0" hidden="false" customHeight="true" outlineLevel="0" collapsed="false">
      <c r="A5" s="3" t="s">
        <v>3</v>
      </c>
    </row>
    <row r="6" customFormat="false" ht="30" hidden="false" customHeight="tru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45" hidden="false" customHeight="true" outlineLevel="0" collapsed="false">
      <c r="A9" s="3" t="s">
        <v>6</v>
      </c>
    </row>
    <row r="10" customFormat="false" ht="45" hidden="false" customHeight="true" outlineLevel="0" collapsed="false">
      <c r="A10" s="3" t="s">
        <v>7</v>
      </c>
    </row>
    <row r="11" customFormat="false" ht="30" hidden="false" customHeight="true" outlineLevel="0" collapsed="false">
      <c r="A11" s="3" t="s">
        <v>8</v>
      </c>
    </row>
    <row r="12" customFormat="false" ht="30" hidden="false" customHeight="tru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30" hidden="false" customHeight="true" outlineLevel="0" collapsed="false">
      <c r="A15" s="3" t="s">
        <v>11</v>
      </c>
    </row>
    <row r="16" customFormat="false" ht="45" hidden="false" customHeight="true" outlineLevel="0" collapsed="false">
      <c r="A16" s="3" t="s">
        <v>12</v>
      </c>
    </row>
    <row r="17" customFormat="false" ht="30" hidden="false" customHeight="tru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30" hidden="false" customHeight="true" outlineLevel="0" collapsed="false">
      <c r="A19" s="3" t="s">
        <v>15</v>
      </c>
    </row>
    <row r="20" customFormat="false" ht="30" hidden="false" customHeight="tru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30" hidden="false" customHeight="tru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22"/>
  </cols>
  <sheetData>
    <row r="1" customFormat="false" ht="16.15" hidden="false" customHeight="false" outlineLevel="0" collapsed="false">
      <c r="A1" s="5" t="s">
        <v>19</v>
      </c>
    </row>
    <row r="2" customFormat="false" ht="15" hidden="false" customHeight="false" outlineLevel="0" collapsed="false">
      <c r="A2" s="6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</row>
    <row r="5" customFormat="false" ht="15" hidden="false" customHeight="false" outlineLevel="0" collapsed="false">
      <c r="A5" s="8" t="n">
        <v>1</v>
      </c>
      <c r="B5" s="9" t="n">
        <v>44348</v>
      </c>
      <c r="C5" s="8" t="n">
        <f aca="false">DAY(EOMONTH(B5,0))</f>
        <v>30</v>
      </c>
      <c r="D5" s="10" t="n">
        <v>230</v>
      </c>
      <c r="E5" s="10" t="n">
        <v>221</v>
      </c>
    </row>
    <row r="6" customFormat="false" ht="15" hidden="false" customHeight="false" outlineLevel="0" collapsed="false">
      <c r="A6" s="8" t="n">
        <v>2</v>
      </c>
      <c r="B6" s="9" t="n">
        <v>44378</v>
      </c>
      <c r="C6" s="8" t="n">
        <f aca="false">DAY(EOMONTH(B6,0))</f>
        <v>31</v>
      </c>
      <c r="D6" s="10" t="n">
        <v>268</v>
      </c>
      <c r="E6" s="10" t="n">
        <v>238</v>
      </c>
    </row>
    <row r="7" customFormat="false" ht="15" hidden="false" customHeight="false" outlineLevel="0" collapsed="false">
      <c r="A7" s="8" t="n">
        <v>3</v>
      </c>
      <c r="B7" s="9" t="n">
        <v>44409</v>
      </c>
      <c r="C7" s="8" t="n">
        <f aca="false">DAY(EOMONTH(B7,0))</f>
        <v>31</v>
      </c>
      <c r="D7" s="10" t="n">
        <v>220</v>
      </c>
      <c r="E7" s="10" t="n">
        <v>222</v>
      </c>
    </row>
    <row r="8" customFormat="false" ht="15" hidden="false" customHeight="false" outlineLevel="0" collapsed="false">
      <c r="A8" s="8" t="n">
        <v>4</v>
      </c>
      <c r="B8" s="9" t="n">
        <v>44440</v>
      </c>
      <c r="C8" s="8" t="n">
        <f aca="false">DAY(EOMONTH(B8,0))</f>
        <v>30</v>
      </c>
      <c r="D8" s="10" t="n">
        <v>260</v>
      </c>
      <c r="E8" s="10" t="n">
        <v>204</v>
      </c>
    </row>
    <row r="9" customFormat="false" ht="15" hidden="false" customHeight="false" outlineLevel="0" collapsed="false">
      <c r="A9" s="8" t="n">
        <v>5</v>
      </c>
      <c r="B9" s="9" t="n">
        <v>44470</v>
      </c>
      <c r="C9" s="8" t="n">
        <f aca="false">DAY(EOMONTH(B9,0))</f>
        <v>31</v>
      </c>
      <c r="D9" s="10" t="n">
        <v>252</v>
      </c>
      <c r="E9" s="10" t="n">
        <v>221</v>
      </c>
    </row>
    <row r="10" customFormat="false" ht="15" hidden="false" customHeight="false" outlineLevel="0" collapsed="false">
      <c r="A10" s="8" t="n">
        <v>6</v>
      </c>
      <c r="B10" s="9" t="n">
        <v>44501</v>
      </c>
      <c r="C10" s="8" t="n">
        <f aca="false">DAY(EOMONTH(B10,0))</f>
        <v>30</v>
      </c>
      <c r="D10" s="10" t="n">
        <v>241</v>
      </c>
      <c r="E10" s="10" t="n">
        <v>225</v>
      </c>
    </row>
    <row r="11" customFormat="false" ht="15" hidden="false" customHeight="false" outlineLevel="0" collapsed="false">
      <c r="A11" s="8" t="n">
        <v>7</v>
      </c>
      <c r="B11" s="9" t="n">
        <v>44531</v>
      </c>
      <c r="C11" s="8" t="n">
        <f aca="false">DAY(EOMONTH(B11,0))</f>
        <v>31</v>
      </c>
      <c r="D11" s="10" t="n">
        <v>302</v>
      </c>
      <c r="E11" s="10" t="n">
        <v>278</v>
      </c>
    </row>
    <row r="12" customFormat="false" ht="15" hidden="false" customHeight="false" outlineLevel="0" collapsed="false">
      <c r="A12" s="8" t="n">
        <v>8</v>
      </c>
      <c r="B12" s="9" t="n">
        <v>44562</v>
      </c>
      <c r="C12" s="8" t="n">
        <f aca="false">DAY(EOMONTH(B12,0))</f>
        <v>31</v>
      </c>
      <c r="D12" s="10" t="n">
        <v>288</v>
      </c>
      <c r="E12" s="10" t="n">
        <v>245</v>
      </c>
    </row>
    <row r="13" customFormat="false" ht="15" hidden="false" customHeight="false" outlineLevel="0" collapsed="false">
      <c r="A13" s="8" t="n">
        <v>9</v>
      </c>
      <c r="B13" s="9" t="n">
        <v>44593</v>
      </c>
      <c r="C13" s="8" t="n">
        <f aca="false">DAY(EOMONTH(B13,0))</f>
        <v>28</v>
      </c>
      <c r="D13" s="10" t="n">
        <v>244</v>
      </c>
      <c r="E13" s="10" t="n">
        <v>179</v>
      </c>
    </row>
    <row r="14" customFormat="false" ht="15" hidden="false" customHeight="false" outlineLevel="0" collapsed="false">
      <c r="A14" s="8" t="n">
        <v>10</v>
      </c>
      <c r="B14" s="9" t="n">
        <v>44621</v>
      </c>
      <c r="C14" s="8" t="n">
        <f aca="false">DAY(EOMONTH(B14,0))</f>
        <v>31</v>
      </c>
      <c r="D14" s="10" t="n">
        <v>246</v>
      </c>
      <c r="E14" s="10" t="n">
        <v>223</v>
      </c>
    </row>
    <row r="15" customFormat="false" ht="15" hidden="false" customHeight="false" outlineLevel="0" collapsed="false">
      <c r="A15" s="8" t="n">
        <v>11</v>
      </c>
      <c r="B15" s="9" t="n">
        <v>44652</v>
      </c>
      <c r="C15" s="8" t="n">
        <f aca="false">DAY(EOMONTH(B15,0))</f>
        <v>30</v>
      </c>
      <c r="D15" s="10" t="n">
        <v>346</v>
      </c>
      <c r="E15" s="10" t="n">
        <v>293</v>
      </c>
    </row>
    <row r="16" customFormat="false" ht="15" hidden="false" customHeight="false" outlineLevel="0" collapsed="false">
      <c r="A16" s="8" t="n">
        <v>12</v>
      </c>
      <c r="B16" s="9" t="n">
        <v>44682</v>
      </c>
      <c r="C16" s="8" t="n">
        <f aca="false">DAY(EOMONTH(B16,0))</f>
        <v>31</v>
      </c>
      <c r="D16" s="10" t="n">
        <v>289</v>
      </c>
      <c r="E16" s="10" t="n">
        <v>241</v>
      </c>
    </row>
    <row r="17" customFormat="false" ht="15" hidden="false" customHeight="false" outlineLevel="0" collapsed="false">
      <c r="A17" s="8" t="n">
        <v>13</v>
      </c>
      <c r="B17" s="9" t="n">
        <v>44713</v>
      </c>
      <c r="C17" s="8" t="n">
        <f aca="false">DAY(EOMONTH(B17,0))</f>
        <v>30</v>
      </c>
      <c r="D17" s="10" t="n">
        <v>251</v>
      </c>
      <c r="E17" s="10" t="n">
        <v>228</v>
      </c>
    </row>
    <row r="18" customFormat="false" ht="15" hidden="false" customHeight="false" outlineLevel="0" collapsed="false">
      <c r="A18" s="8" t="n">
        <v>14</v>
      </c>
      <c r="B18" s="9" t="n">
        <v>44743</v>
      </c>
      <c r="C18" s="8" t="n">
        <f aca="false">DAY(EOMONTH(B18,0))</f>
        <v>31</v>
      </c>
      <c r="D18" s="10" t="n">
        <v>277</v>
      </c>
      <c r="E18" s="10" t="n">
        <v>245</v>
      </c>
    </row>
    <row r="19" customFormat="false" ht="15" hidden="false" customHeight="false" outlineLevel="0" collapsed="false">
      <c r="A19" s="8" t="n">
        <v>15</v>
      </c>
      <c r="B19" s="9" t="n">
        <v>44774</v>
      </c>
      <c r="C19" s="8" t="n">
        <f aca="false">DAY(EOMONTH(B19,0))</f>
        <v>31</v>
      </c>
      <c r="D19" s="10" t="n">
        <v>256</v>
      </c>
      <c r="E19" s="10" t="n">
        <v>223</v>
      </c>
    </row>
    <row r="20" customFormat="false" ht="15" hidden="false" customHeight="false" outlineLevel="0" collapsed="false">
      <c r="A20" s="8" t="n">
        <v>16</v>
      </c>
      <c r="B20" s="9" t="n">
        <v>44805</v>
      </c>
      <c r="C20" s="8" t="n">
        <f aca="false">DAY(EOMONTH(B20,0))</f>
        <v>30</v>
      </c>
      <c r="D20" s="10" t="n">
        <v>247</v>
      </c>
      <c r="E20" s="10" t="n">
        <v>206</v>
      </c>
    </row>
    <row r="21" customFormat="false" ht="15" hidden="false" customHeight="false" outlineLevel="0" collapsed="false">
      <c r="A21" s="8" t="n">
        <v>17</v>
      </c>
      <c r="B21" s="9" t="n">
        <v>44835</v>
      </c>
      <c r="C21" s="8" t="n">
        <f aca="false">DAY(EOMONTH(B21,0))</f>
        <v>31</v>
      </c>
      <c r="D21" s="10" t="n">
        <v>250</v>
      </c>
      <c r="E21" s="10" t="n">
        <v>207</v>
      </c>
    </row>
    <row r="22" customFormat="false" ht="15" hidden="false" customHeight="false" outlineLevel="0" collapsed="false">
      <c r="A22" s="8" t="n">
        <v>18</v>
      </c>
      <c r="B22" s="9" t="n">
        <v>44866</v>
      </c>
      <c r="C22" s="8" t="n">
        <f aca="false">DAY(EOMONTH(B22,0))</f>
        <v>30</v>
      </c>
      <c r="D22" s="10" t="n">
        <v>264</v>
      </c>
      <c r="E22" s="10" t="n">
        <v>228</v>
      </c>
    </row>
    <row r="23" customFormat="false" ht="15" hidden="false" customHeight="false" outlineLevel="0" collapsed="false">
      <c r="A23" s="8" t="n">
        <v>19</v>
      </c>
      <c r="B23" s="9" t="n">
        <v>44896</v>
      </c>
      <c r="C23" s="8" t="n">
        <f aca="false">DAY(EOMONTH(B23,0))</f>
        <v>31</v>
      </c>
      <c r="D23" s="10" t="n">
        <v>320</v>
      </c>
      <c r="E23" s="10" t="n">
        <v>282</v>
      </c>
    </row>
    <row r="24" customFormat="false" ht="15" hidden="false" customHeight="false" outlineLevel="0" collapsed="false">
      <c r="A24" s="8" t="n">
        <v>20</v>
      </c>
      <c r="B24" s="9" t="n">
        <v>44927</v>
      </c>
      <c r="C24" s="8" t="n">
        <f aca="false">DAY(EOMONTH(B24,0))</f>
        <v>31</v>
      </c>
      <c r="D24" s="10" t="n">
        <v>278</v>
      </c>
      <c r="E24" s="10" t="n">
        <v>261</v>
      </c>
    </row>
    <row r="25" customFormat="false" ht="15" hidden="false" customHeight="false" outlineLevel="0" collapsed="false">
      <c r="A25" s="8" t="n">
        <v>21</v>
      </c>
      <c r="B25" s="9" t="n">
        <v>44958</v>
      </c>
      <c r="C25" s="8" t="n">
        <f aca="false">DAY(EOMONTH(B25,0))</f>
        <v>28</v>
      </c>
      <c r="D25" s="10" t="n">
        <v>254</v>
      </c>
      <c r="E25" s="10" t="n">
        <v>228</v>
      </c>
    </row>
    <row r="26" customFormat="false" ht="15" hidden="false" customHeight="false" outlineLevel="0" collapsed="false">
      <c r="A26" s="8" t="n">
        <v>22</v>
      </c>
      <c r="B26" s="9" t="n">
        <v>44986</v>
      </c>
      <c r="C26" s="8" t="n">
        <f aca="false">DAY(EOMONTH(B26,0))</f>
        <v>31</v>
      </c>
      <c r="D26" s="10" t="n">
        <v>297</v>
      </c>
      <c r="E26" s="10" t="n">
        <v>256</v>
      </c>
    </row>
    <row r="27" customFormat="false" ht="15" hidden="false" customHeight="false" outlineLevel="0" collapsed="false">
      <c r="A27" s="8" t="n">
        <v>23</v>
      </c>
      <c r="B27" s="9" t="n">
        <v>45017</v>
      </c>
      <c r="C27" s="8" t="n">
        <f aca="false">DAY(EOMONTH(B27,0))</f>
        <v>30</v>
      </c>
      <c r="D27" s="10" t="n">
        <v>352</v>
      </c>
      <c r="E27" s="10" t="n">
        <v>311</v>
      </c>
    </row>
    <row r="28" customFormat="false" ht="15" hidden="false" customHeight="false" outlineLevel="0" collapsed="false">
      <c r="A28" s="8" t="n">
        <v>24</v>
      </c>
      <c r="B28" s="9" t="n">
        <v>45047</v>
      </c>
      <c r="C28" s="8" t="n">
        <f aca="false">DAY(EOMONTH(B28,0))</f>
        <v>31</v>
      </c>
      <c r="D28" s="10" t="n">
        <v>261</v>
      </c>
      <c r="E28" s="10" t="n">
        <v>231</v>
      </c>
    </row>
    <row r="29" customFormat="false" ht="15" hidden="false" customHeight="false" outlineLevel="0" collapsed="false">
      <c r="A29" s="8" t="n">
        <v>25</v>
      </c>
      <c r="B29" s="9" t="n">
        <v>45078</v>
      </c>
      <c r="C29" s="8" t="n">
        <f aca="false">DAY(EOMONTH(B29,0))</f>
        <v>30</v>
      </c>
      <c r="D29" s="10" t="n">
        <v>272</v>
      </c>
      <c r="E29" s="10" t="n">
        <v>233</v>
      </c>
    </row>
    <row r="30" customFormat="false" ht="15" hidden="false" customHeight="false" outlineLevel="0" collapsed="false">
      <c r="A30" s="8" t="n">
        <v>26</v>
      </c>
      <c r="B30" s="9" t="n">
        <v>45108</v>
      </c>
      <c r="C30" s="8" t="n">
        <f aca="false">DAY(EOMONTH(B30,0))</f>
        <v>31</v>
      </c>
      <c r="D30" s="10" t="n">
        <v>319</v>
      </c>
      <c r="E30" s="10" t="n">
        <v>266</v>
      </c>
    </row>
    <row r="31" customFormat="false" ht="15" hidden="false" customHeight="false" outlineLevel="0" collapsed="false">
      <c r="A31" s="8" t="n">
        <v>27</v>
      </c>
      <c r="B31" s="9" t="n">
        <v>45139</v>
      </c>
      <c r="C31" s="8" t="n">
        <f aca="false">DAY(EOMONTH(B31,0))</f>
        <v>31</v>
      </c>
      <c r="D31" s="10" t="n">
        <v>257</v>
      </c>
      <c r="E31" s="10" t="n">
        <v>226</v>
      </c>
    </row>
    <row r="32" customFormat="false" ht="15" hidden="false" customHeight="false" outlineLevel="0" collapsed="false">
      <c r="A32" s="8" t="n">
        <v>28</v>
      </c>
      <c r="B32" s="9" t="n">
        <v>45170</v>
      </c>
      <c r="C32" s="8" t="n">
        <f aca="false">DAY(EOMONTH(B32,0))</f>
        <v>30</v>
      </c>
      <c r="D32" s="10" t="n">
        <v>286</v>
      </c>
      <c r="E32" s="10" t="n">
        <v>242</v>
      </c>
    </row>
    <row r="33" customFormat="false" ht="15" hidden="false" customHeight="false" outlineLevel="0" collapsed="false">
      <c r="A33" s="8" t="n">
        <v>29</v>
      </c>
      <c r="B33" s="9" t="n">
        <v>45200</v>
      </c>
      <c r="C33" s="8" t="n">
        <f aca="false">DAY(EOMONTH(B33,0))</f>
        <v>31</v>
      </c>
      <c r="D33" s="10" t="n">
        <v>252</v>
      </c>
      <c r="E33" s="10" t="n">
        <v>241</v>
      </c>
    </row>
    <row r="34" customFormat="false" ht="15" hidden="false" customHeight="false" outlineLevel="0" collapsed="false">
      <c r="A34" s="8" t="n">
        <v>30</v>
      </c>
      <c r="B34" s="9" t="n">
        <v>45231</v>
      </c>
      <c r="C34" s="8" t="n">
        <f aca="false">DAY(EOMONTH(B34,0))</f>
        <v>30</v>
      </c>
      <c r="D34" s="10" t="n">
        <v>272</v>
      </c>
      <c r="E34" s="10" t="n">
        <v>236</v>
      </c>
    </row>
    <row r="35" customFormat="false" ht="15" hidden="false" customHeight="false" outlineLevel="0" collapsed="false">
      <c r="A35" s="8" t="n">
        <v>31</v>
      </c>
      <c r="B35" s="9" t="n">
        <v>45261</v>
      </c>
      <c r="C35" s="8" t="n">
        <f aca="false">DAY(EOMONTH(B35,0))</f>
        <v>31</v>
      </c>
      <c r="D35" s="10" t="n">
        <v>319</v>
      </c>
      <c r="E35" s="10" t="n">
        <v>288</v>
      </c>
    </row>
    <row r="36" customFormat="false" ht="15" hidden="false" customHeight="false" outlineLevel="0" collapsed="false">
      <c r="A36" s="8" t="n">
        <v>32</v>
      </c>
      <c r="B36" s="9" t="n">
        <v>45292</v>
      </c>
      <c r="C36" s="8" t="n">
        <f aca="false">DAY(EOMONTH(B36,0))</f>
        <v>31</v>
      </c>
      <c r="D36" s="10" t="n">
        <v>334</v>
      </c>
      <c r="E36" s="10" t="n">
        <v>277</v>
      </c>
    </row>
    <row r="37" customFormat="false" ht="15" hidden="false" customHeight="false" outlineLevel="0" collapsed="false">
      <c r="A37" s="8" t="n">
        <v>33</v>
      </c>
      <c r="B37" s="9" t="n">
        <v>45323</v>
      </c>
      <c r="C37" s="8" t="n">
        <f aca="false">DAY(EOMONTH(B37,0))</f>
        <v>29</v>
      </c>
      <c r="D37" s="10" t="n">
        <v>284</v>
      </c>
      <c r="E37" s="10" t="n">
        <v>248</v>
      </c>
    </row>
    <row r="38" customFormat="false" ht="15" hidden="false" customHeight="false" outlineLevel="0" collapsed="false">
      <c r="A38" s="8" t="n">
        <v>34</v>
      </c>
      <c r="B38" s="9" t="n">
        <v>45352</v>
      </c>
      <c r="C38" s="8" t="n">
        <f aca="false">DAY(EOMONTH(B38,0))</f>
        <v>31</v>
      </c>
      <c r="D38" s="10" t="n">
        <v>358</v>
      </c>
      <c r="E38" s="10" t="n">
        <v>280</v>
      </c>
    </row>
    <row r="39" customFormat="false" ht="15" hidden="false" customHeight="false" outlineLevel="0" collapsed="false">
      <c r="A39" s="8" t="n">
        <v>35</v>
      </c>
      <c r="B39" s="9" t="n">
        <v>45383</v>
      </c>
      <c r="C39" s="8" t="n">
        <f aca="false">DAY(EOMONTH(B39,0))</f>
        <v>30</v>
      </c>
      <c r="D39" s="10" t="n">
        <v>321</v>
      </c>
      <c r="E39" s="10" t="n">
        <v>293</v>
      </c>
    </row>
    <row r="40" customFormat="false" ht="15" hidden="false" customHeight="false" outlineLevel="0" collapsed="false">
      <c r="A40" s="8" t="n">
        <v>36</v>
      </c>
      <c r="B40" s="9" t="n">
        <v>45413</v>
      </c>
      <c r="C40" s="8" t="n">
        <f aca="false">DAY(EOMONTH(B40,0))</f>
        <v>31</v>
      </c>
      <c r="D40" s="10" t="n">
        <v>285</v>
      </c>
      <c r="E40" s="10" t="n">
        <v>241</v>
      </c>
    </row>
    <row r="41" customFormat="false" ht="15" hidden="false" customHeight="false" outlineLevel="0" collapsed="false">
      <c r="A41" s="8" t="n">
        <v>37</v>
      </c>
      <c r="B41" s="9" t="n">
        <v>45444</v>
      </c>
      <c r="C41" s="8" t="n">
        <f aca="false">DAY(EOMONTH(B41,0))</f>
        <v>30</v>
      </c>
      <c r="D41" s="10" t="n">
        <v>270</v>
      </c>
      <c r="E41" s="10" t="n">
        <v>233</v>
      </c>
    </row>
    <row r="42" customFormat="false" ht="15" hidden="false" customHeight="false" outlineLevel="0" collapsed="false">
      <c r="A42" s="8" t="n">
        <v>38</v>
      </c>
      <c r="B42" s="9" t="n">
        <v>45474</v>
      </c>
      <c r="C42" s="8" t="n">
        <f aca="false">DAY(EOMONTH(B42,0))</f>
        <v>31</v>
      </c>
      <c r="D42" s="10" t="n">
        <v>299</v>
      </c>
      <c r="E42" s="10" t="n">
        <v>258</v>
      </c>
    </row>
    <row r="43" customFormat="false" ht="15" hidden="false" customHeight="false" outlineLevel="0" collapsed="false">
      <c r="A43" s="8" t="n">
        <v>39</v>
      </c>
      <c r="B43" s="9" t="n">
        <v>45505</v>
      </c>
      <c r="C43" s="8" t="n">
        <f aca="false">DAY(EOMONTH(B43,0))</f>
        <v>31</v>
      </c>
      <c r="D43" s="10" t="n">
        <v>286</v>
      </c>
      <c r="E43" s="10" t="n">
        <v>225</v>
      </c>
    </row>
    <row r="44" customFormat="false" ht="15" hidden="false" customHeight="false" outlineLevel="0" collapsed="false">
      <c r="A44" s="8" t="n">
        <v>40</v>
      </c>
      <c r="B44" s="9" t="n">
        <v>45536</v>
      </c>
      <c r="C44" s="8" t="n">
        <f aca="false">DAY(EOMONTH(B44,0))</f>
        <v>30</v>
      </c>
      <c r="D44" s="10" t="n">
        <v>293</v>
      </c>
      <c r="E44" s="10" t="n">
        <v>231</v>
      </c>
    </row>
    <row r="45" customFormat="false" ht="15" hidden="false" customHeight="false" outlineLevel="0" collapsed="false">
      <c r="A45" s="8" t="n">
        <v>41</v>
      </c>
      <c r="B45" s="9" t="n">
        <v>45566</v>
      </c>
      <c r="C45" s="8" t="n">
        <f aca="false">DAY(EOMONTH(B45,0))</f>
        <v>31</v>
      </c>
      <c r="D45" s="10" t="n">
        <v>284</v>
      </c>
      <c r="E45" s="10" t="n">
        <v>227</v>
      </c>
    </row>
    <row r="46" customFormat="false" ht="15" hidden="false" customHeight="false" outlineLevel="0" collapsed="false">
      <c r="A46" s="8" t="n">
        <v>42</v>
      </c>
      <c r="B46" s="9" t="n">
        <v>45597</v>
      </c>
      <c r="C46" s="8" t="n">
        <f aca="false">DAY(EOMONTH(B46,0))</f>
        <v>30</v>
      </c>
      <c r="D46" s="10" t="n">
        <v>274</v>
      </c>
      <c r="E46" s="10" t="n">
        <v>239</v>
      </c>
    </row>
    <row r="47" customFormat="false" ht="15" hidden="false" customHeight="false" outlineLevel="0" collapsed="false">
      <c r="A47" s="8" t="n">
        <v>43</v>
      </c>
      <c r="B47" s="9" t="n">
        <v>45627</v>
      </c>
      <c r="C47" s="8" t="n">
        <f aca="false">DAY(EOMONTH(B47,0))</f>
        <v>31</v>
      </c>
      <c r="D47" s="10" t="n">
        <v>340</v>
      </c>
      <c r="E47" s="10" t="n">
        <v>300</v>
      </c>
    </row>
    <row r="48" customFormat="false" ht="15" hidden="false" customHeight="false" outlineLevel="0" collapsed="false">
      <c r="A48" s="8" t="n">
        <v>44</v>
      </c>
      <c r="B48" s="9" t="n">
        <v>45658</v>
      </c>
      <c r="C48" s="8" t="n">
        <f aca="false">DAY(EOMONTH(B48,0))</f>
        <v>31</v>
      </c>
      <c r="D48" s="10" t="n">
        <v>352</v>
      </c>
      <c r="E48" s="10" t="n">
        <v>278</v>
      </c>
    </row>
    <row r="49" customFormat="false" ht="15" hidden="false" customHeight="false" outlineLevel="0" collapsed="false">
      <c r="A49" s="8" t="n">
        <v>45</v>
      </c>
      <c r="B49" s="9" t="n">
        <v>45689</v>
      </c>
      <c r="C49" s="8" t="n">
        <f aca="false">DAY(EOMONTH(B49,0))</f>
        <v>28</v>
      </c>
      <c r="D49" s="10" t="n">
        <v>294</v>
      </c>
      <c r="E49" s="10" t="n">
        <v>254</v>
      </c>
    </row>
    <row r="50" customFormat="false" ht="15" hidden="false" customHeight="false" outlineLevel="0" collapsed="false">
      <c r="A50" s="8" t="n">
        <v>46</v>
      </c>
      <c r="B50" s="9" t="n">
        <v>45717</v>
      </c>
      <c r="C50" s="8" t="n">
        <f aca="false">DAY(EOMONTH(B50,0))</f>
        <v>31</v>
      </c>
      <c r="D50" s="10" t="n">
        <v>403</v>
      </c>
      <c r="E50" s="10" t="n">
        <v>336</v>
      </c>
    </row>
    <row r="51" customFormat="false" ht="15" hidden="false" customHeight="false" outlineLevel="0" collapsed="false">
      <c r="A51" s="8" t="n">
        <v>47</v>
      </c>
      <c r="B51" s="9" t="n">
        <v>45748</v>
      </c>
      <c r="C51" s="8" t="n">
        <f aca="false">DAY(EOMONTH(B51,0))</f>
        <v>30</v>
      </c>
      <c r="D51" s="10" t="n">
        <v>353</v>
      </c>
      <c r="E51" s="10" t="n">
        <v>266</v>
      </c>
    </row>
    <row r="52" customFormat="false" ht="15" hidden="false" customHeight="false" outlineLevel="0" collapsed="false">
      <c r="A52" s="8" t="n">
        <v>48</v>
      </c>
      <c r="B52" s="9" t="n">
        <v>45778</v>
      </c>
      <c r="C52" s="8" t="n">
        <f aca="false">DAY(EOMONTH(B52,0))</f>
        <v>31</v>
      </c>
      <c r="D52" s="10" t="n">
        <v>278</v>
      </c>
      <c r="E52" s="10" t="n">
        <v>243</v>
      </c>
    </row>
    <row r="53" customFormat="false" ht="15" hidden="false" customHeight="false" outlineLevel="0" collapsed="false">
      <c r="A53" s="8" t="n">
        <v>49</v>
      </c>
      <c r="B53" s="9" t="n">
        <v>45809</v>
      </c>
      <c r="C53" s="8" t="n">
        <f aca="false">DAY(EOMONTH(B53,0))</f>
        <v>30</v>
      </c>
      <c r="D53" s="10" t="n">
        <v>330</v>
      </c>
      <c r="E53" s="10" t="n">
        <v>239</v>
      </c>
    </row>
    <row r="54" customFormat="false" ht="15" hidden="false" customHeight="false" outlineLevel="0" collapsed="false">
      <c r="A54" s="8" t="n">
        <v>50</v>
      </c>
      <c r="B54" s="9" t="n">
        <v>45839</v>
      </c>
      <c r="C54" s="8" t="n">
        <f aca="false">DAY(EOMONTH(B54,0))</f>
        <v>31</v>
      </c>
      <c r="D54" s="10" t="n">
        <v>375</v>
      </c>
      <c r="E54" s="10" t="n">
        <v>277</v>
      </c>
    </row>
    <row r="55" customFormat="false" ht="15" hidden="false" customHeight="false" outlineLevel="0" collapsed="false">
      <c r="A55" s="8" t="n">
        <v>51</v>
      </c>
      <c r="B55" s="9" t="n">
        <v>45870</v>
      </c>
      <c r="C55" s="8" t="n">
        <f aca="false">DAY(EOMONTH(B55,0))</f>
        <v>31</v>
      </c>
      <c r="D55" s="10" t="n">
        <v>317</v>
      </c>
      <c r="E55" s="10" t="n">
        <v>252</v>
      </c>
    </row>
    <row r="56" customFormat="false" ht="15" hidden="false" customHeight="false" outlineLevel="0" collapsed="false">
      <c r="A56" s="8" t="n">
        <v>52</v>
      </c>
      <c r="B56" s="9" t="n">
        <v>45901</v>
      </c>
      <c r="C56" s="8" t="n">
        <f aca="false">DAY(EOMONTH(B56,0))</f>
        <v>30</v>
      </c>
      <c r="D56" s="10" t="n">
        <v>306</v>
      </c>
      <c r="E56" s="10" t="n">
        <v>278</v>
      </c>
    </row>
    <row r="57" customFormat="false" ht="15" hidden="false" customHeight="false" outlineLevel="0" collapsed="false">
      <c r="A57" s="8" t="n">
        <v>53</v>
      </c>
      <c r="B57" s="9" t="n">
        <v>45931</v>
      </c>
      <c r="C57" s="8" t="n">
        <f aca="false">DAY(EOMONTH(B57,0))</f>
        <v>31</v>
      </c>
      <c r="D57" s="10" t="n">
        <v>285</v>
      </c>
      <c r="E57" s="10" t="n">
        <v>278</v>
      </c>
    </row>
    <row r="58" customFormat="false" ht="15" hidden="false" customHeight="false" outlineLevel="0" collapsed="false">
      <c r="A58" s="8" t="n">
        <v>54</v>
      </c>
      <c r="B58" s="9" t="n">
        <v>45962</v>
      </c>
      <c r="C58" s="8" t="n">
        <f aca="false">DAY(EOMONTH(B58,0))</f>
        <v>30</v>
      </c>
      <c r="D58" s="10" t="n">
        <v>311</v>
      </c>
      <c r="E58" s="10" t="n">
        <v>278</v>
      </c>
    </row>
    <row r="59" customFormat="false" ht="15" hidden="false" customHeight="false" outlineLevel="0" collapsed="false">
      <c r="A59" s="8" t="n">
        <v>55</v>
      </c>
      <c r="B59" s="9" t="n">
        <v>45992</v>
      </c>
      <c r="C59" s="8" t="n">
        <f aca="false">DAY(EOMONTH(B59,0))</f>
        <v>31</v>
      </c>
      <c r="D59" s="10" t="n">
        <v>364</v>
      </c>
      <c r="E59" s="10" t="n">
        <v>360</v>
      </c>
    </row>
    <row r="60" customFormat="false" ht="15" hidden="false" customHeight="false" outlineLevel="0" collapsed="false">
      <c r="A60" s="8" t="n">
        <v>56</v>
      </c>
      <c r="B60" s="9" t="n">
        <v>46023</v>
      </c>
      <c r="C60" s="8" t="n">
        <f aca="false">DAY(EOMONTH(B60,0))</f>
        <v>31</v>
      </c>
      <c r="D60" s="10" t="n">
        <v>343</v>
      </c>
      <c r="E60" s="10" t="n">
        <v>282</v>
      </c>
    </row>
    <row r="61" customFormat="false" ht="15" hidden="false" customHeight="false" outlineLevel="0" collapsed="false">
      <c r="A61" s="8" t="n">
        <v>57</v>
      </c>
      <c r="B61" s="9" t="n">
        <v>46054</v>
      </c>
      <c r="C61" s="8" t="n">
        <f aca="false">DAY(EOMONTH(B61,0))</f>
        <v>28</v>
      </c>
      <c r="D61" s="10" t="n">
        <v>336</v>
      </c>
      <c r="E61" s="10" t="n">
        <v>307</v>
      </c>
    </row>
    <row r="62" customFormat="false" ht="15" hidden="false" customHeight="false" outlineLevel="0" collapsed="false">
      <c r="A62" s="8" t="n">
        <v>58</v>
      </c>
      <c r="B62" s="9" t="n">
        <v>46082</v>
      </c>
      <c r="C62" s="8" t="n">
        <f aca="false">DAY(EOMONTH(B62,0))</f>
        <v>31</v>
      </c>
      <c r="D62" s="10" t="n">
        <v>405</v>
      </c>
      <c r="E62" s="10" t="n">
        <v>362</v>
      </c>
    </row>
    <row r="63" customFormat="false" ht="15" hidden="false" customHeight="false" outlineLevel="0" collapsed="false">
      <c r="A63" s="8" t="n">
        <v>59</v>
      </c>
      <c r="B63" s="9" t="n">
        <v>46113</v>
      </c>
      <c r="C63" s="8" t="n">
        <f aca="false">DAY(EOMONTH(B63,0))</f>
        <v>30</v>
      </c>
      <c r="D63" s="10" t="n">
        <v>322</v>
      </c>
      <c r="E63" s="10" t="n">
        <v>270</v>
      </c>
    </row>
    <row r="64" customFormat="false" ht="15" hidden="false" customHeight="false" outlineLevel="0" collapsed="false">
      <c r="A64" s="8" t="n">
        <v>60</v>
      </c>
      <c r="B64" s="9" t="n">
        <v>46143</v>
      </c>
      <c r="C64" s="8" t="n">
        <f aca="false">DAY(EOMONTH(B64,0))</f>
        <v>31</v>
      </c>
      <c r="D64" s="10" t="n">
        <v>295</v>
      </c>
      <c r="E64" s="10" t="n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5" t="s">
        <v>26</v>
      </c>
    </row>
    <row r="3" customFormat="false" ht="15" hidden="false" customHeight="false" outlineLevel="0" collapsed="false">
      <c r="A3" s="11" t="s">
        <v>27</v>
      </c>
    </row>
    <row r="4" customFormat="false" ht="15" hidden="false" customHeight="false" outlineLevel="0" collapsed="false">
      <c r="A4" s="12" t="s">
        <v>28</v>
      </c>
      <c r="B4" s="13" t="n">
        <f aca="false">1/24</f>
        <v>0.0416666666666667</v>
      </c>
    </row>
    <row r="5" customFormat="false" ht="15" hidden="false" customHeight="false" outlineLevel="0" collapsed="false">
      <c r="A5" s="12" t="s">
        <v>29</v>
      </c>
      <c r="B5" s="13" t="n">
        <f aca="false">1/12</f>
        <v>0.0833333333333333</v>
      </c>
    </row>
    <row r="6" customFormat="false" ht="15" hidden="false" customHeight="false" outlineLevel="0" collapsed="false">
      <c r="A6" s="12" t="s">
        <v>30</v>
      </c>
      <c r="B6" s="13" t="n">
        <f aca="false">1/12</f>
        <v>0.0833333333333333</v>
      </c>
    </row>
    <row r="7" customFormat="false" ht="15" hidden="false" customHeight="false" outlineLevel="0" collapsed="false">
      <c r="A7" s="12" t="s">
        <v>31</v>
      </c>
      <c r="B7" s="13" t="n">
        <f aca="false">1/12</f>
        <v>0.0833333333333333</v>
      </c>
    </row>
    <row r="8" customFormat="false" ht="15" hidden="false" customHeight="false" outlineLevel="0" collapsed="false">
      <c r="A8" s="12" t="s">
        <v>32</v>
      </c>
      <c r="B8" s="13" t="n">
        <f aca="false">1/12</f>
        <v>0.0833333333333333</v>
      </c>
    </row>
    <row r="9" customFormat="false" ht="15" hidden="false" customHeight="false" outlineLevel="0" collapsed="false">
      <c r="A9" s="12" t="s">
        <v>33</v>
      </c>
      <c r="B9" s="13" t="n">
        <f aca="false">1/12</f>
        <v>0.0833333333333333</v>
      </c>
    </row>
    <row r="10" customFormat="false" ht="15" hidden="false" customHeight="false" outlineLevel="0" collapsed="false">
      <c r="A10" s="12" t="s">
        <v>34</v>
      </c>
      <c r="B10" s="13" t="n">
        <f aca="false">1/12</f>
        <v>0.0833333333333333</v>
      </c>
    </row>
    <row r="11" customFormat="false" ht="15" hidden="false" customHeight="false" outlineLevel="0" collapsed="false">
      <c r="A11" s="12" t="s">
        <v>35</v>
      </c>
      <c r="B11" s="13" t="n">
        <f aca="false">1/12</f>
        <v>0.0833333333333333</v>
      </c>
    </row>
    <row r="12" customFormat="false" ht="15" hidden="false" customHeight="false" outlineLevel="0" collapsed="false">
      <c r="A12" s="12" t="s">
        <v>36</v>
      </c>
      <c r="B12" s="13" t="n">
        <f aca="false">1/12</f>
        <v>0.0833333333333333</v>
      </c>
    </row>
    <row r="13" customFormat="false" ht="15" hidden="false" customHeight="false" outlineLevel="0" collapsed="false">
      <c r="A13" s="12" t="s">
        <v>37</v>
      </c>
      <c r="B13" s="13" t="n">
        <f aca="false">1/12</f>
        <v>0.0833333333333333</v>
      </c>
    </row>
    <row r="14" customFormat="false" ht="15" hidden="false" customHeight="false" outlineLevel="0" collapsed="false">
      <c r="A14" s="12" t="s">
        <v>38</v>
      </c>
      <c r="B14" s="13" t="n">
        <f aca="false">1/12</f>
        <v>0.0833333333333333</v>
      </c>
    </row>
    <row r="15" customFormat="false" ht="15" hidden="false" customHeight="false" outlineLevel="0" collapsed="false">
      <c r="A15" s="12" t="s">
        <v>39</v>
      </c>
      <c r="B15" s="13" t="n">
        <f aca="false">1/12</f>
        <v>0.0833333333333333</v>
      </c>
    </row>
    <row r="16" customFormat="false" ht="15" hidden="false" customHeight="false" outlineLevel="0" collapsed="false">
      <c r="A16" s="12" t="s">
        <v>40</v>
      </c>
      <c r="B16" s="13" t="n">
        <f aca="false">1/24</f>
        <v>0.0416666666666667</v>
      </c>
    </row>
    <row r="17" customFormat="false" ht="15" hidden="false" customHeight="false" outlineLevel="0" collapsed="false">
      <c r="A17" s="11" t="s">
        <v>41</v>
      </c>
      <c r="B17" s="14" t="n">
        <f aca="false">SUM(B4:B16)</f>
        <v>1</v>
      </c>
    </row>
    <row r="19" customFormat="false" ht="15" hidden="false" customHeight="false" outlineLevel="0" collapsed="false">
      <c r="A19" s="11" t="s">
        <v>42</v>
      </c>
      <c r="B19" s="15" t="n">
        <v>8</v>
      </c>
      <c r="C19" s="6" t="s">
        <v>43</v>
      </c>
    </row>
    <row r="20" customFormat="false" ht="15" hidden="false" customHeight="false" outlineLevel="0" collapsed="false">
      <c r="A20" s="15" t="n">
        <v>-6</v>
      </c>
      <c r="B20" s="14" t="n">
        <f aca="false">315*(($B$19-1)^2-A20^2)*($B$19^2-A20^2)*(($B$19+1)^2-A20^2)*(3*$B$19^2-16-11*A20^2)/(8*$B$19*($B$19^2-1)*(4*$B$19^2-1)*(4*$B$19^2-9)*(4*$B$19^2-25))</f>
        <v>-0.0193498452012384</v>
      </c>
    </row>
    <row r="21" customFormat="false" ht="15" hidden="false" customHeight="false" outlineLevel="0" collapsed="false">
      <c r="A21" s="15" t="n">
        <v>-5</v>
      </c>
      <c r="B21" s="14" t="n">
        <f aca="false">315*(($B$19-1)^2-A21^2)*($B$19^2-A21^2)*(($B$19+1)^2-A21^2)*(3*$B$19^2-16-11*A21^2)/(8*$B$19*($B$19^2-1)*(4*$B$19^2-1)*(4*$B$19^2-9)*(4*$B$19^2-25))</f>
        <v>-0.0278637770897833</v>
      </c>
    </row>
    <row r="22" customFormat="false" ht="15" hidden="false" customHeight="false" outlineLevel="0" collapsed="false">
      <c r="A22" s="15" t="n">
        <v>-4</v>
      </c>
      <c r="B22" s="14" t="n">
        <f aca="false">315*(($B$19-1)^2-A22^2)*($B$19^2-A22^2)*(($B$19+1)^2-A22^2)*(3*$B$19^2-16-11*A22^2)/(8*$B$19*($B$19^2-1)*(4*$B$19^2-1)*(4*$B$19^2-9)*(4*$B$19^2-25))</f>
        <v>0</v>
      </c>
    </row>
    <row r="23" customFormat="false" ht="15" hidden="false" customHeight="false" outlineLevel="0" collapsed="false">
      <c r="A23" s="15" t="n">
        <v>-3</v>
      </c>
      <c r="B23" s="14" t="n">
        <f aca="false">315*(($B$19-1)^2-A23^2)*($B$19^2-A23^2)*(($B$19+1)^2-A23^2)*(3*$B$19^2-16-11*A23^2)/(8*$B$19*($B$19^2-1)*(4*$B$19^2-1)*(4*$B$19^2-9)*(4*$B$19^2-25))</f>
        <v>0.0654917837580376</v>
      </c>
    </row>
    <row r="24" customFormat="false" ht="15" hidden="false" customHeight="false" outlineLevel="0" collapsed="false">
      <c r="A24" s="15" t="n">
        <v>-2</v>
      </c>
      <c r="B24" s="14" t="n">
        <f aca="false">315*(($B$19-1)^2-A24^2)*($B$19^2-A24^2)*(($B$19+1)^2-A24^2)*(3*$B$19^2-16-11*A24^2)/(8*$B$19*($B$19^2-1)*(4*$B$19^2-1)*(4*$B$19^2-9)*(4*$B$19^2-25))</f>
        <v>0.147356513455585</v>
      </c>
    </row>
    <row r="25" customFormat="false" ht="15" hidden="false" customHeight="false" outlineLevel="0" collapsed="false">
      <c r="A25" s="15" t="n">
        <v>-1</v>
      </c>
      <c r="B25" s="14" t="n">
        <f aca="false">315*(($B$19-1)^2-A25^2)*($B$19^2-A25^2)*(($B$19+1)^2-A25^2)*(3*$B$19^2-16-11*A25^2)/(8*$B$19*($B$19^2-1)*(4*$B$19^2-1)*(4*$B$19^2-9)*(4*$B$19^2-25))</f>
        <v>0.214336746844487</v>
      </c>
    </row>
    <row r="26" customFormat="false" ht="15" hidden="false" customHeight="false" outlineLevel="0" collapsed="false">
      <c r="A26" s="15" t="n">
        <v>0</v>
      </c>
      <c r="B26" s="14" t="n">
        <f aca="false">315*(($B$19-1)^2-A26^2)*($B$19^2-A26^2)*(($B$19+1)^2-A26^2)*(3*$B$19^2-16-11*A26^2)/(8*$B$19*($B$19^2-1)*(4*$B$19^2-1)*(4*$B$19^2-9)*(4*$B$19^2-25))</f>
        <v>0.240057156465825</v>
      </c>
    </row>
    <row r="27" customFormat="false" ht="15" hidden="false" customHeight="false" outlineLevel="0" collapsed="false">
      <c r="A27" s="15" t="n">
        <v>1</v>
      </c>
      <c r="B27" s="14" t="n">
        <f aca="false">315*(($B$19-1)^2-A27^2)*($B$19^2-A27^2)*(($B$19+1)^2-A27^2)*(3*$B$19^2-16-11*A27^2)/(8*$B$19*($B$19^2-1)*(4*$B$19^2-1)*(4*$B$19^2-9)*(4*$B$19^2-25))</f>
        <v>0.214336746844487</v>
      </c>
    </row>
    <row r="28" customFormat="false" ht="15" hidden="false" customHeight="false" outlineLevel="0" collapsed="false">
      <c r="A28" s="15" t="n">
        <v>2</v>
      </c>
      <c r="B28" s="14" t="n">
        <f aca="false">315*(($B$19-1)^2-A28^2)*($B$19^2-A28^2)*(($B$19+1)^2-A28^2)*(3*$B$19^2-16-11*A28^2)/(8*$B$19*($B$19^2-1)*(4*$B$19^2-1)*(4*$B$19^2-9)*(4*$B$19^2-25))</f>
        <v>0.147356513455585</v>
      </c>
    </row>
    <row r="29" customFormat="false" ht="15" hidden="false" customHeight="false" outlineLevel="0" collapsed="false">
      <c r="A29" s="15" t="n">
        <v>3</v>
      </c>
      <c r="B29" s="14" t="n">
        <f aca="false">315*(($B$19-1)^2-A29^2)*($B$19^2-A29^2)*(($B$19+1)^2-A29^2)*(3*$B$19^2-16-11*A29^2)/(8*$B$19*($B$19^2-1)*(4*$B$19^2-1)*(4*$B$19^2-9)*(4*$B$19^2-25))</f>
        <v>0.0654917837580376</v>
      </c>
    </row>
    <row r="30" customFormat="false" ht="15" hidden="false" customHeight="false" outlineLevel="0" collapsed="false">
      <c r="A30" s="15" t="n">
        <v>4</v>
      </c>
      <c r="B30" s="14" t="n">
        <f aca="false">315*(($B$19-1)^2-A30^2)*($B$19^2-A30^2)*(($B$19+1)^2-A30^2)*(3*$B$19^2-16-11*A30^2)/(8*$B$19*($B$19^2-1)*(4*$B$19^2-1)*(4*$B$19^2-9)*(4*$B$19^2-25))</f>
        <v>0</v>
      </c>
    </row>
    <row r="31" customFormat="false" ht="15" hidden="false" customHeight="false" outlineLevel="0" collapsed="false">
      <c r="A31" s="15" t="n">
        <v>5</v>
      </c>
      <c r="B31" s="14" t="n">
        <f aca="false">315*(($B$19-1)^2-A31^2)*($B$19^2-A31^2)*(($B$19+1)^2-A31^2)*(3*$B$19^2-16-11*A31^2)/(8*$B$19*($B$19^2-1)*(4*$B$19^2-1)*(4*$B$19^2-9)*(4*$B$19^2-25))</f>
        <v>-0.0278637770897833</v>
      </c>
    </row>
    <row r="32" customFormat="false" ht="15" hidden="false" customHeight="false" outlineLevel="0" collapsed="false">
      <c r="A32" s="15" t="n">
        <v>6</v>
      </c>
      <c r="B32" s="14" t="n">
        <f aca="false">315*(($B$19-1)^2-A32^2)*($B$19^2-A32^2)*(($B$19+1)^2-A32^2)*(3*$B$19^2-16-11*A32^2)/(8*$B$19*($B$19^2-1)*(4*$B$19^2-1)*(4*$B$19^2-9)*(4*$B$19^2-25))</f>
        <v>-0.0193498452012384</v>
      </c>
    </row>
    <row r="33" customFormat="false" ht="15" hidden="false" customHeight="false" outlineLevel="0" collapsed="false">
      <c r="A33" s="11" t="s">
        <v>41</v>
      </c>
      <c r="B33" s="14" t="n">
        <f aca="false">SUM(B20:B32)</f>
        <v>1</v>
      </c>
    </row>
    <row r="36" customFormat="false" ht="15" hidden="false" customHeight="false" outlineLevel="0" collapsed="false">
      <c r="A36" s="11" t="s">
        <v>44</v>
      </c>
    </row>
    <row r="37" customFormat="false" ht="15" hidden="false" customHeight="false" outlineLevel="0" collapsed="false">
      <c r="A37" s="12" t="s">
        <v>45</v>
      </c>
      <c r="B37" s="15" t="n">
        <v>-24</v>
      </c>
      <c r="C37" s="15" t="n">
        <v>-12</v>
      </c>
      <c r="D37" s="15" t="n">
        <v>0</v>
      </c>
      <c r="E37" s="15" t="n">
        <v>12</v>
      </c>
      <c r="F37" s="15" t="n">
        <v>24</v>
      </c>
    </row>
    <row r="38" customFormat="false" ht="15" hidden="false" customHeight="false" outlineLevel="0" collapsed="false">
      <c r="A38" s="12" t="s">
        <v>46</v>
      </c>
      <c r="B38" s="16" t="n">
        <f aca="false">1/9</f>
        <v>0.111111111111111</v>
      </c>
      <c r="C38" s="16" t="n">
        <f aca="false">2/9</f>
        <v>0.222222222222222</v>
      </c>
      <c r="D38" s="16" t="n">
        <f aca="false">3/9</f>
        <v>0.333333333333333</v>
      </c>
      <c r="E38" s="16" t="n">
        <f aca="false">2/9</f>
        <v>0.222222222222222</v>
      </c>
      <c r="F38" s="16" t="n">
        <f aca="false">1/9</f>
        <v>0.111111111111111</v>
      </c>
      <c r="H38" s="17" t="n">
        <f aca="false">SUM(B38:F38)</f>
        <v>1</v>
      </c>
    </row>
    <row r="41" customFormat="false" ht="15" hidden="false" customHeight="false" outlineLevel="0" collapsed="false">
      <c r="A41" s="11" t="s">
        <v>47</v>
      </c>
    </row>
    <row r="42" customFormat="false" ht="15" hidden="false" customHeight="false" outlineLevel="0" collapsed="false">
      <c r="A42" s="12" t="s">
        <v>45</v>
      </c>
      <c r="B42" s="15" t="n">
        <v>-36</v>
      </c>
      <c r="C42" s="15" t="n">
        <v>-24</v>
      </c>
      <c r="D42" s="15" t="n">
        <v>-12</v>
      </c>
      <c r="E42" s="15" t="n">
        <v>0</v>
      </c>
      <c r="F42" s="15" t="n">
        <v>12</v>
      </c>
      <c r="G42" s="15" t="n">
        <v>24</v>
      </c>
      <c r="H42" s="15" t="n">
        <v>36</v>
      </c>
    </row>
    <row r="43" customFormat="false" ht="15" hidden="false" customHeight="false" outlineLevel="0" collapsed="false">
      <c r="A43" s="12" t="s">
        <v>46</v>
      </c>
      <c r="B43" s="16" t="n">
        <f aca="false">1/15</f>
        <v>0.0666666666666667</v>
      </c>
      <c r="C43" s="16" t="n">
        <f aca="false">2/15</f>
        <v>0.133333333333333</v>
      </c>
      <c r="D43" s="16" t="n">
        <f aca="false">3/15</f>
        <v>0.2</v>
      </c>
      <c r="E43" s="16" t="n">
        <f aca="false">3/15</f>
        <v>0.2</v>
      </c>
      <c r="F43" s="16" t="n">
        <f aca="false">3/15</f>
        <v>0.2</v>
      </c>
      <c r="G43" s="16" t="n">
        <f aca="false">2/15</f>
        <v>0.133333333333333</v>
      </c>
      <c r="H43" s="16" t="n">
        <f aca="false">1/15</f>
        <v>0.0666666666666667</v>
      </c>
      <c r="I43" s="17" t="n">
        <f aca="false">SUM(B43:H43)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5" t="s">
        <v>48</v>
      </c>
    </row>
    <row r="3" customFormat="false" ht="15" hidden="false" customHeight="false" outlineLevel="0" collapsed="false">
      <c r="A3" s="12" t="s">
        <v>49</v>
      </c>
      <c r="B3" s="18" t="n">
        <v>0.01</v>
      </c>
      <c r="C3" s="6" t="s">
        <v>50</v>
      </c>
    </row>
    <row r="4" customFormat="false" ht="15" hidden="false" customHeight="false" outlineLevel="0" collapsed="false">
      <c r="A4" s="12" t="s">
        <v>51</v>
      </c>
      <c r="B4" s="18" t="n">
        <v>0.37</v>
      </c>
      <c r="C4" s="6" t="s">
        <v>52</v>
      </c>
    </row>
    <row r="5" customFormat="false" ht="15" hidden="false" customHeight="false" outlineLevel="0" collapsed="false">
      <c r="A5" s="12" t="s">
        <v>53</v>
      </c>
      <c r="B5" s="18" t="n">
        <v>0.94</v>
      </c>
      <c r="C5" s="6" t="s">
        <v>54</v>
      </c>
    </row>
    <row r="6" customFormat="false" ht="15" hidden="false" customHeight="false" outlineLevel="0" collapsed="false">
      <c r="A6" s="12" t="s">
        <v>55</v>
      </c>
      <c r="B6" s="15" t="n">
        <v>12</v>
      </c>
      <c r="C6" s="6" t="s">
        <v>56</v>
      </c>
    </row>
    <row r="7" customFormat="false" ht="15" hidden="false" customHeight="false" outlineLevel="0" collapsed="false">
      <c r="A7" s="11" t="s">
        <v>57</v>
      </c>
      <c r="B7" s="19" t="n">
        <f aca="false">AVERAGE(H60:H71)</f>
        <v>0.0699275509750514</v>
      </c>
    </row>
    <row r="8" customFormat="false" ht="15" hidden="false" customHeight="false" outlineLevel="0" collapsed="false">
      <c r="A8" s="12" t="s">
        <v>58</v>
      </c>
      <c r="B8" s="20" t="n">
        <f aca="false">AVERAGE(H24:H59)</f>
        <v>0.0633201342126887</v>
      </c>
    </row>
    <row r="9" customFormat="false" ht="15" hidden="false" customHeight="false" outlineLevel="0" collapsed="false">
      <c r="A9" s="12" t="s">
        <v>59</v>
      </c>
      <c r="B9" s="21" t="n">
        <f aca="false">SUMXMY2(C24:C59,G24:G59)</f>
        <v>19134.0127998281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7" t="s">
        <v>66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Data!D5</f>
        <v>230</v>
      </c>
      <c r="D12" s="24"/>
      <c r="E12" s="24"/>
      <c r="F12" s="25" t="n">
        <f aca="false">C12/$D$23</f>
        <v>0.866290018832392</v>
      </c>
      <c r="G12" s="24"/>
      <c r="H12" s="24"/>
      <c r="I12" s="26" t="s">
        <v>67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Data!D6</f>
        <v>268</v>
      </c>
      <c r="D13" s="24"/>
      <c r="E13" s="24"/>
      <c r="F13" s="25" t="n">
        <f aca="false">C13/$D$23</f>
        <v>1.00941619585687</v>
      </c>
      <c r="G13" s="24"/>
      <c r="H13" s="24"/>
      <c r="I13" s="26" t="s">
        <v>67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Data!D7</f>
        <v>220</v>
      </c>
      <c r="D14" s="24"/>
      <c r="E14" s="24"/>
      <c r="F14" s="25" t="n">
        <f aca="false">C14/$D$23</f>
        <v>0.828625235404896</v>
      </c>
      <c r="G14" s="24"/>
      <c r="H14" s="24"/>
      <c r="I14" s="26" t="s">
        <v>67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Data!D8</f>
        <v>260</v>
      </c>
      <c r="D15" s="24"/>
      <c r="E15" s="24"/>
      <c r="F15" s="25" t="n">
        <f aca="false">C15/$D$23</f>
        <v>0.979284369114878</v>
      </c>
      <c r="G15" s="24"/>
      <c r="H15" s="24"/>
      <c r="I15" s="26" t="s">
        <v>67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Data!D9</f>
        <v>252</v>
      </c>
      <c r="D16" s="24"/>
      <c r="E16" s="24"/>
      <c r="F16" s="25" t="n">
        <f aca="false">C16/$D$23</f>
        <v>0.949152542372881</v>
      </c>
      <c r="G16" s="24"/>
      <c r="H16" s="24"/>
      <c r="I16" s="26" t="s">
        <v>67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Data!D10</f>
        <v>241</v>
      </c>
      <c r="D17" s="24"/>
      <c r="E17" s="24"/>
      <c r="F17" s="25" t="n">
        <f aca="false">C17/$D$23</f>
        <v>0.907721280602637</v>
      </c>
      <c r="G17" s="24"/>
      <c r="H17" s="24"/>
      <c r="I17" s="26" t="s">
        <v>67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Data!D11</f>
        <v>302</v>
      </c>
      <c r="D18" s="24"/>
      <c r="E18" s="24"/>
      <c r="F18" s="25" t="n">
        <f aca="false">C18/$D$23</f>
        <v>1.13747645951036</v>
      </c>
      <c r="G18" s="24"/>
      <c r="H18" s="24"/>
      <c r="I18" s="26" t="s">
        <v>67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Data!D12</f>
        <v>288</v>
      </c>
      <c r="D19" s="24"/>
      <c r="E19" s="24"/>
      <c r="F19" s="25" t="n">
        <f aca="false">C19/$D$23</f>
        <v>1.08474576271186</v>
      </c>
      <c r="G19" s="24"/>
      <c r="H19" s="24"/>
      <c r="I19" s="26" t="s">
        <v>67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Data!D13</f>
        <v>244</v>
      </c>
      <c r="D20" s="24"/>
      <c r="E20" s="24"/>
      <c r="F20" s="25" t="n">
        <f aca="false">C20/$D$23</f>
        <v>0.919020715630885</v>
      </c>
      <c r="G20" s="24"/>
      <c r="H20" s="24"/>
      <c r="I20" s="26" t="s">
        <v>67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Data!D14</f>
        <v>246</v>
      </c>
      <c r="D21" s="24"/>
      <c r="E21" s="24"/>
      <c r="F21" s="25" t="n">
        <f aca="false">C21/$D$23</f>
        <v>0.926553672316384</v>
      </c>
      <c r="G21" s="24"/>
      <c r="H21" s="24"/>
      <c r="I21" s="26" t="s">
        <v>67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Data!D15</f>
        <v>346</v>
      </c>
      <c r="D22" s="24"/>
      <c r="E22" s="24"/>
      <c r="F22" s="25" t="n">
        <f aca="false">C22/$D$23</f>
        <v>1.30320150659134</v>
      </c>
      <c r="G22" s="24"/>
      <c r="H22" s="24"/>
      <c r="I22" s="26" t="s">
        <v>67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Data!D16</f>
        <v>289</v>
      </c>
      <c r="D23" s="27" t="n">
        <f aca="false">AVERAGE(C12:C23)</f>
        <v>265.5</v>
      </c>
      <c r="E23" s="25" t="n">
        <f aca="false">(AVERAGE(C24:C35)-AVERAGE(C12:C23))/$B$6</f>
        <v>0.840277777777776</v>
      </c>
      <c r="F23" s="25" t="n">
        <f aca="false">C23/$D$23</f>
        <v>1.08851224105461</v>
      </c>
      <c r="G23" s="24"/>
      <c r="H23" s="24"/>
      <c r="I23" s="26" t="s">
        <v>67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Data!D17</f>
        <v>251</v>
      </c>
      <c r="D24" s="27" t="n">
        <f aca="false">$B$3*(C24/F12)+(1-$B$3)*(D23+E23)</f>
        <v>266.574288043478</v>
      </c>
      <c r="E24" s="25" t="n">
        <f aca="false">$B$4*(D24-D23)+(1-$B$4)*E23</f>
        <v>0.926861576086951</v>
      </c>
      <c r="F24" s="25" t="n">
        <f aca="false">$B$5*(C24/D24)+(1-$B$5)*F12</f>
        <v>0.937059010956913</v>
      </c>
      <c r="G24" s="27" t="n">
        <f aca="false">(D23+E23)*F12</f>
        <v>230.727924251936</v>
      </c>
      <c r="H24" s="28" t="n">
        <f aca="false">ABS(C24-G24)/C24</f>
        <v>0.0807652420241612</v>
      </c>
      <c r="I24" s="26" t="s">
        <v>68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Data!D18</f>
        <v>277</v>
      </c>
      <c r="D25" s="27" t="n">
        <f aca="false">$B$3*(C25/F13)+(1-$B$3)*(D24+E24)</f>
        <v>267.570298571131</v>
      </c>
      <c r="E25" s="25" t="n">
        <f aca="false">$B$4*(D25-D24)+(1-$B$4)*E24</f>
        <v>0.952446688166189</v>
      </c>
      <c r="F25" s="25" t="n">
        <f aca="false">$B$5*(C25/D25)+(1-$B$5)*F13</f>
        <v>1.03369241299011</v>
      </c>
      <c r="G25" s="27" t="n">
        <f aca="false">(D24+E24)*F13</f>
        <v>270.019992836322</v>
      </c>
      <c r="H25" s="28" t="n">
        <f aca="false">ABS(C25-G25)/C25</f>
        <v>0.0251985818183324</v>
      </c>
      <c r="I25" s="26" t="s">
        <v>68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Data!D19</f>
        <v>256</v>
      </c>
      <c r="D26" s="27" t="n">
        <f aca="false">$B$3*(C26/F14)+(1-$B$3)*(D25+E25)</f>
        <v>268.926972352158</v>
      </c>
      <c r="E26" s="25" t="n">
        <f aca="false">$B$4*(D26-D25)+(1-$B$4)*E25</f>
        <v>1.10201071252496</v>
      </c>
      <c r="F26" s="25" t="n">
        <f aca="false">$B$5*(C26/D26)+(1-$B$5)*F14</f>
        <v>0.944532927748492</v>
      </c>
      <c r="G26" s="27" t="n">
        <f aca="false">(D25+E25)*F14</f>
        <v>222.504723002054</v>
      </c>
      <c r="H26" s="28" t="n">
        <f aca="false">ABS(C26-G26)/C26</f>
        <v>0.130840925773227</v>
      </c>
      <c r="I26" s="26" t="s">
        <v>68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Data!D20</f>
        <v>247</v>
      </c>
      <c r="D27" s="27" t="n">
        <f aca="false">$B$3*(C27/F15)+(1-$B$3)*(D26+E26)</f>
        <v>269.850943234037</v>
      </c>
      <c r="E27" s="25" t="n">
        <f aca="false">$B$4*(D27-D26)+(1-$B$4)*E26</f>
        <v>1.03613597518561</v>
      </c>
      <c r="F27" s="25" t="n">
        <f aca="false">$B$5*(C27/D27)+(1-$B$5)*F15</f>
        <v>0.919157982808618</v>
      </c>
      <c r="G27" s="27" t="n">
        <f aca="false">(D26+E26)*F15</f>
        <v>264.43516232323</v>
      </c>
      <c r="H27" s="28" t="n">
        <f aca="false">ABS(C27-G27)/C27</f>
        <v>0.0705877017134835</v>
      </c>
      <c r="I27" s="26" t="s">
        <v>68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Data!D21</f>
        <v>250</v>
      </c>
      <c r="D28" s="27" t="n">
        <f aca="false">$B$3*(C28/F16)+(1-$B$3)*(D27+E27)</f>
        <v>270.812136988558</v>
      </c>
      <c r="E28" s="25" t="n">
        <f aca="false">$B$4*(D28-D27)+(1-$B$4)*E27</f>
        <v>1.00840735354006</v>
      </c>
      <c r="F28" s="25" t="n">
        <f aca="false">$B$5*(C28/D28)+(1-$B$5)*F16</f>
        <v>0.924709374123315</v>
      </c>
      <c r="G28" s="27" t="n">
        <f aca="false">(D27+E27)*F16</f>
        <v>257.113159927397</v>
      </c>
      <c r="H28" s="28" t="n">
        <f aca="false">ABS(C28-G28)/C28</f>
        <v>0.028452639709589</v>
      </c>
      <c r="I28" s="26" t="s">
        <v>68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Data!D22</f>
        <v>264</v>
      </c>
      <c r="D29" s="27" t="n">
        <f aca="false">$B$3*(C29/F17)+(1-$B$3)*(D28+E28)</f>
        <v>272.010720641416</v>
      </c>
      <c r="E29" s="25" t="n">
        <f aca="false">$B$4*(D29-D28)+(1-$B$4)*E28</f>
        <v>1.07877258428758</v>
      </c>
      <c r="F29" s="25" t="n">
        <f aca="false">$B$5*(C29/D29)+(1-$B$5)*F17</f>
        <v>0.96678025983898</v>
      </c>
      <c r="G29" s="27" t="n">
        <f aca="false">(D28+E28)*F17</f>
        <v>246.737292604315</v>
      </c>
      <c r="H29" s="28" t="n">
        <f aca="false">ABS(C29-G29)/C29</f>
        <v>0.0653890431654719</v>
      </c>
      <c r="I29" s="26" t="s">
        <v>68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Data!D23</f>
        <v>320</v>
      </c>
      <c r="D30" s="27" t="n">
        <f aca="false">$B$3*(C30/F18)+(1-$B$3)*(D29+E29)</f>
        <v>273.171843326559</v>
      </c>
      <c r="E30" s="25" t="n">
        <f aca="false">$B$4*(D30-D29)+(1-$B$4)*E29</f>
        <v>1.10924212160411</v>
      </c>
      <c r="F30" s="25" t="n">
        <f aca="false">$B$5*(C30/D30)+(1-$B$5)*F18</f>
        <v>1.16938696382858</v>
      </c>
      <c r="G30" s="27" t="n">
        <f aca="false">(D29+E29)*F18</f>
        <v>310.632869883851</v>
      </c>
      <c r="H30" s="28" t="n">
        <f aca="false">ABS(C30-G30)/C30</f>
        <v>0.0292722816129647</v>
      </c>
      <c r="I30" s="26" t="s">
        <v>68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Data!D24</f>
        <v>278</v>
      </c>
      <c r="D31" s="27" t="n">
        <f aca="false">$B$3*(C31/F19)+(1-$B$3)*(D30+E30)</f>
        <v>274.101087093682</v>
      </c>
      <c r="E31" s="25" t="n">
        <f aca="false">$B$4*(D31-D30)+(1-$B$4)*E30</f>
        <v>1.0426427304459</v>
      </c>
      <c r="F31" s="25" t="n">
        <f aca="false">$B$5*(C31/D31)+(1-$B$5)*F19</f>
        <v>1.01845564542166</v>
      </c>
      <c r="G31" s="27" t="n">
        <f aca="false">(D30+E30)*F19</f>
        <v>297.525245231906</v>
      </c>
      <c r="H31" s="28" t="n">
        <f aca="false">ABS(C31-G31)/C31</f>
        <v>0.0702346950787984</v>
      </c>
      <c r="I31" s="26" t="s">
        <v>68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Data!D25</f>
        <v>254</v>
      </c>
      <c r="D32" s="27" t="n">
        <f aca="false">$B$3*(C32/F20)+(1-$B$3)*(D31+E31)</f>
        <v>275.156104001296</v>
      </c>
      <c r="E32" s="25" t="n">
        <f aca="false">$B$4*(D32-D31)+(1-$B$4)*E31</f>
        <v>1.04722117599826</v>
      </c>
      <c r="F32" s="25" t="n">
        <f aca="false">$B$5*(C32/D32)+(1-$B$5)*F20</f>
        <v>0.922866859516853</v>
      </c>
      <c r="G32" s="27" t="n">
        <f aca="false">(D31+E31)*F20</f>
        <v>252.862787484321</v>
      </c>
      <c r="H32" s="28" t="n">
        <f aca="false">ABS(C32-G32)/C32</f>
        <v>0.00447721462865898</v>
      </c>
      <c r="I32" s="26" t="s">
        <v>68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Data!D26</f>
        <v>297</v>
      </c>
      <c r="D33" s="27" t="n">
        <f aca="false">$B$3*(C33/F21)+(1-$B$3)*(D32+E32)</f>
        <v>276.64671875479</v>
      </c>
      <c r="E33" s="25" t="n">
        <f aca="false">$B$4*(D33-D32)+(1-$B$4)*E32</f>
        <v>1.21127679967154</v>
      </c>
      <c r="F33" s="25" t="n">
        <f aca="false">$B$5*(C33/D33)+(1-$B$5)*F21</f>
        <v>1.0647503188096</v>
      </c>
      <c r="G33" s="27" t="n">
        <f aca="false">(D32+E32)*F21</f>
        <v>255.917205249019</v>
      </c>
      <c r="H33" s="28" t="n">
        <f aca="false">ABS(C33-G33)/C33</f>
        <v>0.138325908252463</v>
      </c>
      <c r="I33" s="26" t="s">
        <v>68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Data!D27</f>
        <v>352</v>
      </c>
      <c r="D34" s="27" t="n">
        <f aca="false">$B$3*(C34/F22)+(1-$B$3)*(D33+E33)</f>
        <v>277.780456061344</v>
      </c>
      <c r="E34" s="25" t="n">
        <f aca="false">$B$4*(D34-D33)+(1-$B$4)*E33</f>
        <v>1.1825871872183</v>
      </c>
      <c r="F34" s="25" t="n">
        <f aca="false">$B$5*(C34/D34)+(1-$B$5)*F22</f>
        <v>1.26934860547777</v>
      </c>
      <c r="G34" s="27" t="n">
        <f aca="false">(D33+E33)*F22</f>
        <v>362.104958425023</v>
      </c>
      <c r="H34" s="28" t="n">
        <f aca="false">ABS(C34-G34)/C34</f>
        <v>0.0287072682529063</v>
      </c>
      <c r="I34" s="26" t="s">
        <v>68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Data!D28</f>
        <v>261</v>
      </c>
      <c r="D35" s="27" t="n">
        <f aca="false">$B$3*(C35/F23)+(1-$B$3)*(D34+E34)</f>
        <v>278.571180982167</v>
      </c>
      <c r="E35" s="25" t="n">
        <f aca="false">$B$4*(D35-D34)+(1-$B$4)*E34</f>
        <v>1.03759814865191</v>
      </c>
      <c r="F35" s="25" t="n">
        <f aca="false">$B$5*(C35/D35)+(1-$B$5)*F23</f>
        <v>0.946019209528778</v>
      </c>
      <c r="G35" s="27" t="n">
        <f aca="false">(D34+E34)*F23</f>
        <v>303.654687377908</v>
      </c>
      <c r="H35" s="28" t="n">
        <f aca="false">ABS(C35-G35)/C35</f>
        <v>0.163427920988154</v>
      </c>
      <c r="I35" s="26" t="s">
        <v>68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Data!D29</f>
        <v>272</v>
      </c>
      <c r="D36" s="27" t="n">
        <f aca="false">$B$3*(C36/F24)+(1-$B$3)*(D35+E35)</f>
        <v>279.715390068401</v>
      </c>
      <c r="E36" s="25" t="n">
        <f aca="false">$B$4*(D36-D35)+(1-$B$4)*E35</f>
        <v>1.07704419555735</v>
      </c>
      <c r="F36" s="25" t="n">
        <f aca="false">$B$5*(C36/D36)+(1-$B$5)*F24</f>
        <v>0.97029551909763</v>
      </c>
      <c r="G36" s="27" t="n">
        <f aca="false">(D35+E35)*F24</f>
        <v>262.009926027195</v>
      </c>
      <c r="H36" s="28" t="n">
        <f aca="false">ABS(C36-G36)/C36</f>
        <v>0.036728213135312</v>
      </c>
      <c r="I36" s="26" t="s">
        <v>68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Data!D30</f>
        <v>319</v>
      </c>
      <c r="D37" s="27" t="n">
        <f aca="false">$B$3*(C37/F25)+(1-$B$3)*(D36+E36)</f>
        <v>281.070534313016</v>
      </c>
      <c r="E37" s="25" t="n">
        <f aca="false">$B$4*(D37-D36)+(1-$B$4)*E36</f>
        <v>1.17994121370873</v>
      </c>
      <c r="F37" s="25" t="n">
        <f aca="false">$B$5*(C37/D37)+(1-$B$5)*F25</f>
        <v>1.12887119066245</v>
      </c>
      <c r="G37" s="27" t="n">
        <f aca="false">(D36+E36)*F25</f>
        <v>290.25300892368</v>
      </c>
      <c r="H37" s="28" t="n">
        <f aca="false">ABS(C37-G37)/C37</f>
        <v>0.0901159594868982</v>
      </c>
      <c r="I37" s="26" t="s">
        <v>68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Data!D31</f>
        <v>257</v>
      </c>
      <c r="D38" s="27" t="n">
        <f aca="false">$B$3*(C38/F26)+(1-$B$3)*(D37+E37)</f>
        <v>282.148892323792</v>
      </c>
      <c r="E38" s="25" t="n">
        <f aca="false">$B$4*(D38-D37)+(1-$B$4)*E37</f>
        <v>1.14235542862344</v>
      </c>
      <c r="F38" s="25" t="n">
        <f aca="false">$B$5*(C38/D38)+(1-$B$5)*F26</f>
        <v>0.912886572186397</v>
      </c>
      <c r="G38" s="27" t="n">
        <f aca="false">(D37+E37)*F26</f>
        <v>266.594868007662</v>
      </c>
      <c r="H38" s="28" t="n">
        <f aca="false">ABS(C38-G38)/C38</f>
        <v>0.0373341167613299</v>
      </c>
      <c r="I38" s="26" t="s">
        <v>68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Data!D32</f>
        <v>286</v>
      </c>
      <c r="D39" s="27" t="n">
        <f aca="false">$B$3*(C39/F27)+(1-$B$3)*(D38+E38)</f>
        <v>283.569878723887</v>
      </c>
      <c r="E39" s="25" t="n">
        <f aca="false">$B$4*(D39-D38)+(1-$B$4)*E38</f>
        <v>1.24544888806781</v>
      </c>
      <c r="F39" s="25" t="n">
        <f aca="false">$B$5*(C39/D39)+(1-$B$5)*F27</f>
        <v>1.00320503835947</v>
      </c>
      <c r="G39" s="27" t="n">
        <f aca="false">(D38+E38)*F27</f>
        <v>260.389411831447</v>
      </c>
      <c r="H39" s="28" t="n">
        <f aca="false">ABS(C39-G39)/C39</f>
        <v>0.0895475110788583</v>
      </c>
      <c r="I39" s="26" t="s">
        <v>68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Data!D33</f>
        <v>252</v>
      </c>
      <c r="D40" s="27" t="n">
        <f aca="false">$B$3*(C40/F28)+(1-$B$3)*(D39+E39)</f>
        <v>284.692354885009</v>
      </c>
      <c r="E40" s="25" t="n">
        <f aca="false">$B$4*(D40-D39)+(1-$B$4)*E39</f>
        <v>1.19994897909807</v>
      </c>
      <c r="F40" s="25" t="n">
        <f aca="false">$B$5*(C40/D40)+(1-$B$5)*F28</f>
        <v>0.887538625546385</v>
      </c>
      <c r="G40" s="27" t="n">
        <f aca="false">(D39+E39)*F28</f>
        <v>263.371403336777</v>
      </c>
      <c r="H40" s="28" t="n">
        <f aca="false">ABS(C40-G40)/C40</f>
        <v>0.0451246164157831</v>
      </c>
      <c r="I40" s="26" t="s">
        <v>68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Data!D34</f>
        <v>272</v>
      </c>
      <c r="D41" s="27" t="n">
        <f aca="false">$B$3*(C41/F29)+(1-$B$3)*(D40+E40)</f>
        <v>285.846843318435</v>
      </c>
      <c r="E41" s="25" t="n">
        <f aca="false">$B$4*(D41-D40)+(1-$B$4)*E40</f>
        <v>1.18312857719947</v>
      </c>
      <c r="F41" s="25" t="n">
        <f aca="false">$B$5*(C41/D41)+(1-$B$5)*F29</f>
        <v>0.952471827104112</v>
      </c>
      <c r="G41" s="27" t="n">
        <f aca="false">(D40+E40)*F29</f>
        <v>276.395035815706</v>
      </c>
      <c r="H41" s="28" t="n">
        <f aca="false">ABS(C41-G41)/C41</f>
        <v>0.0161582199106839</v>
      </c>
      <c r="I41" s="26" t="s">
        <v>68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Data!D35</f>
        <v>319</v>
      </c>
      <c r="D42" s="27" t="n">
        <f aca="false">$B$3*(C42/F30)+(1-$B$3)*(D41+E41)</f>
        <v>286.887597233715</v>
      </c>
      <c r="E42" s="25" t="n">
        <f aca="false">$B$4*(D42-D41)+(1-$B$4)*E41</f>
        <v>1.13044995228918</v>
      </c>
      <c r="F42" s="25" t="n">
        <f aca="false">$B$5*(C42/D42)+(1-$B$5)*F30</f>
        <v>1.11538093686452</v>
      </c>
      <c r="G42" s="27" t="n">
        <f aca="false">(D41+E41)*F30</f>
        <v>335.649107362838</v>
      </c>
      <c r="H42" s="28" t="n">
        <f aca="false">ABS(C42-G42)/C42</f>
        <v>0.0521915591311541</v>
      </c>
      <c r="I42" s="26" t="s">
        <v>68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Data!D36</f>
        <v>334</v>
      </c>
      <c r="D43" s="27" t="n">
        <f aca="false">$B$3*(C43/F31)+(1-$B$3)*(D42+E42)</f>
        <v>288.417341883254</v>
      </c>
      <c r="E43" s="25" t="n">
        <f aca="false">$B$4*(D43-D42)+(1-$B$4)*E42</f>
        <v>1.27818899027157</v>
      </c>
      <c r="F43" s="25" t="n">
        <f aca="false">$B$5*(C43/D43)+(1-$B$5)*F31</f>
        <v>1.14966878912201</v>
      </c>
      <c r="G43" s="27" t="n">
        <f aca="false">(D42+E42)*F31</f>
        <v>293.333606139909</v>
      </c>
      <c r="H43" s="28" t="n">
        <f aca="false">ABS(C43-G43)/C43</f>
        <v>0.121755670239793</v>
      </c>
      <c r="I43" s="26" t="s">
        <v>68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Data!D37</f>
        <v>284</v>
      </c>
      <c r="D44" s="27" t="n">
        <f aca="false">$B$3*(C44/F32)+(1-$B$3)*(D43+E43)</f>
        <v>289.875942544342</v>
      </c>
      <c r="E44" s="25" t="n">
        <f aca="false">$B$4*(D44-D43)+(1-$B$4)*E43</f>
        <v>1.34494130847377</v>
      </c>
      <c r="F44" s="25" t="n">
        <f aca="false">$B$5*(C44/D44)+(1-$B$5)*F32</f>
        <v>0.976317701843888</v>
      </c>
      <c r="G44" s="27" t="n">
        <f aca="false">(D43+E43)*F32</f>
        <v>267.350404793318</v>
      </c>
      <c r="H44" s="28" t="n">
        <f aca="false">ABS(C44-G44)/C44</f>
        <v>0.0586253352347959</v>
      </c>
      <c r="I44" s="26" t="s">
        <v>68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Data!D38</f>
        <v>358</v>
      </c>
      <c r="D45" s="27" t="n">
        <f aca="false">$B$3*(C45/F33)+(1-$B$3)*(D44+E44)</f>
        <v>291.670965625295</v>
      </c>
      <c r="E45" s="25" t="n">
        <f aca="false">$B$4*(D45-D44)+(1-$B$4)*E44</f>
        <v>1.51147156429088</v>
      </c>
      <c r="F45" s="25" t="n">
        <f aca="false">$B$5*(C45/D45)+(1-$B$5)*F33</f>
        <v>1.21765087058574</v>
      </c>
      <c r="G45" s="27" t="n">
        <f aca="false">(D44+E44)*F33</f>
        <v>310.077528926299</v>
      </c>
      <c r="H45" s="28" t="n">
        <f aca="false">ABS(C45-G45)/C45</f>
        <v>0.133861651043858</v>
      </c>
      <c r="I45" s="26" t="s">
        <v>68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Data!D39</f>
        <v>321</v>
      </c>
      <c r="D46" s="27" t="n">
        <f aca="false">$B$3*(C46/F34)+(1-$B$3)*(D45+E45)</f>
        <v>292.779468946059</v>
      </c>
      <c r="E46" s="25" t="n">
        <f aca="false">$B$4*(D46-D45)+(1-$B$4)*E45</f>
        <v>1.3623733141862</v>
      </c>
      <c r="F46" s="25" t="n">
        <f aca="false">$B$5*(C46/D46)+(1-$B$5)*F34</f>
        <v>1.10676596895137</v>
      </c>
      <c r="G46" s="27" t="n">
        <f aca="false">(D45+E45)*F34</f>
        <v>372.150717797174</v>
      </c>
      <c r="H46" s="28" t="n">
        <f aca="false">ABS(C46-G46)/C46</f>
        <v>0.159348030520792</v>
      </c>
      <c r="I46" s="26" t="s">
        <v>68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Data!D40</f>
        <v>285</v>
      </c>
      <c r="D47" s="27" t="n">
        <f aca="false">$B$3*(C47/F35)+(1-$B$3)*(D46+E46)</f>
        <v>294.213047652565</v>
      </c>
      <c r="E47" s="25" t="n">
        <f aca="false">$B$4*(D47-D46)+(1-$B$4)*E46</f>
        <v>1.3887193093444</v>
      </c>
      <c r="F47" s="25" t="n">
        <f aca="false">$B$5*(C47/D47)+(1-$B$5)*F35</f>
        <v>0.967325799984516</v>
      </c>
      <c r="G47" s="27" t="n">
        <f aca="false">(D46+E46)*F35</f>
        <v>278.263833104376</v>
      </c>
      <c r="H47" s="28" t="n">
        <f aca="false">ABS(C47-G47)/C47</f>
        <v>0.023635673317979</v>
      </c>
      <c r="I47" s="26" t="s">
        <v>68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Data!D41</f>
        <v>270</v>
      </c>
      <c r="D48" s="27" t="n">
        <f aca="false">$B$3*(C48/F36)+(1-$B$3)*(D47+E47)</f>
        <v>295.428406685691</v>
      </c>
      <c r="E48" s="25" t="n">
        <f aca="false">$B$4*(D48-D47)+(1-$B$4)*E47</f>
        <v>1.32457600714338</v>
      </c>
      <c r="F48" s="25" t="n">
        <f aca="false">$B$5*(C48/D48)+(1-$B$5)*F36</f>
        <v>0.917309119300757</v>
      </c>
      <c r="G48" s="27" t="n">
        <f aca="false">(D47+E47)*F36</f>
        <v>286.821069920483</v>
      </c>
      <c r="H48" s="28" t="n">
        <f aca="false">ABS(C48-G48)/C48</f>
        <v>0.0623002589647506</v>
      </c>
      <c r="I48" s="26" t="s">
        <v>68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Data!D42</f>
        <v>299</v>
      </c>
      <c r="D49" s="27" t="n">
        <f aca="false">$B$3*(C49/F37)+(1-$B$3)*(D48+E48)</f>
        <v>296.434116437739</v>
      </c>
      <c r="E49" s="25" t="n">
        <f aca="false">$B$4*(D49-D48)+(1-$B$4)*E48</f>
        <v>1.2065954927583</v>
      </c>
      <c r="F49" s="25" t="n">
        <f aca="false">$B$5*(C49/D49)+(1-$B$5)*F37</f>
        <v>1.01586875241403</v>
      </c>
      <c r="G49" s="27" t="n">
        <f aca="false">(D48+E48)*F37</f>
        <v>334.995892905094</v>
      </c>
      <c r="H49" s="28" t="n">
        <f aca="false">ABS(C49-G49)/C49</f>
        <v>0.120387601689277</v>
      </c>
      <c r="I49" s="26" t="s">
        <v>68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Data!D43</f>
        <v>286</v>
      </c>
      <c r="D50" s="27" t="n">
        <f aca="false">$B$3*(C50/F38)+(1-$B$3)*(D49+E49)</f>
        <v>297.797224154228</v>
      </c>
      <c r="E50" s="25" t="n">
        <f aca="false">$B$4*(D50-D49)+(1-$B$4)*E49</f>
        <v>1.26450501553854</v>
      </c>
      <c r="F50" s="25" t="n">
        <f aca="false">$B$5*(C50/D50)+(1-$B$5)*F38</f>
        <v>0.957535134989063</v>
      </c>
      <c r="G50" s="27" t="n">
        <f aca="false">(D49+E49)*F38</f>
        <v>271.712209257351</v>
      </c>
      <c r="H50" s="28" t="n">
        <f aca="false">ABS(C50-G50)/C50</f>
        <v>0.0499573102889841</v>
      </c>
      <c r="I50" s="26" t="s">
        <v>68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Data!D44</f>
        <v>293</v>
      </c>
      <c r="D51" s="27" t="n">
        <f aca="false">$B$3*(C51/F39)+(1-$B$3)*(D50+E50)</f>
        <v>298.991751117273</v>
      </c>
      <c r="E51" s="25" t="n">
        <f aca="false">$B$4*(D51-D50)+(1-$B$4)*E50</f>
        <v>1.23861313611594</v>
      </c>
      <c r="F51" s="25" t="n">
        <f aca="false">$B$5*(C51/D51)+(1-$B$5)*F39</f>
        <v>0.981354839297356</v>
      </c>
      <c r="G51" s="27" t="n">
        <f aca="false">(D50+E50)*F39</f>
        <v>300.020233483606</v>
      </c>
      <c r="H51" s="28" t="n">
        <f aca="false">ABS(C51-G51)/C51</f>
        <v>0.0239598412409758</v>
      </c>
      <c r="I51" s="26" t="s">
        <v>68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Data!D45</f>
        <v>284</v>
      </c>
      <c r="D52" s="27" t="n">
        <f aca="false">$B$3*(C52/F40)+(1-$B$3)*(D51+E51)</f>
        <v>300.42792134734</v>
      </c>
      <c r="E52" s="25" t="n">
        <f aca="false">$B$4*(D52-D51)+(1-$B$4)*E51</f>
        <v>1.31170926087795</v>
      </c>
      <c r="F52" s="25" t="n">
        <f aca="false">$B$5*(C52/D52)+(1-$B$5)*F40</f>
        <v>0.941851482359923</v>
      </c>
      <c r="G52" s="27" t="n">
        <f aca="false">(D51+E51)*F40</f>
        <v>266.466044836743</v>
      </c>
      <c r="H52" s="28" t="n">
        <f aca="false">ABS(C52-G52)/C52</f>
        <v>0.0617392787438623</v>
      </c>
      <c r="I52" s="26" t="s">
        <v>68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Data!D46</f>
        <v>274</v>
      </c>
      <c r="D53" s="27" t="n">
        <f aca="false">$B$3*(C53/F41)+(1-$B$3)*(D52+E52)</f>
        <v>301.59895980942</v>
      </c>
      <c r="E53" s="25" t="n">
        <f aca="false">$B$4*(D53-D52)+(1-$B$4)*E52</f>
        <v>1.2596610653227</v>
      </c>
      <c r="F53" s="25" t="n">
        <f aca="false">$B$5*(C53/D53)+(1-$B$5)*F41</f>
        <v>0.911130034771293</v>
      </c>
      <c r="G53" s="27" t="n">
        <f aca="false">(D52+E52)*F41</f>
        <v>287.398497275129</v>
      </c>
      <c r="H53" s="28" t="n">
        <f aca="false">ABS(C53-G53)/C53</f>
        <v>0.0488996250917129</v>
      </c>
      <c r="I53" s="26" t="s">
        <v>68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Data!D47</f>
        <v>340</v>
      </c>
      <c r="D54" s="27" t="n">
        <f aca="false">$B$3*(C54/F42)+(1-$B$3)*(D53+E53)</f>
        <v>302.878320581261</v>
      </c>
      <c r="E54" s="25" t="n">
        <f aca="false">$B$4*(D54-D53)+(1-$B$4)*E53</f>
        <v>1.26694995673446</v>
      </c>
      <c r="F54" s="25" t="n">
        <f aca="false">$B$5*(C54/D54)+(1-$B$5)*F42</f>
        <v>1.12213208804678</v>
      </c>
      <c r="G54" s="27" t="n">
        <f aca="false">(D53+E53)*F42</f>
        <v>337.802732288768</v>
      </c>
      <c r="H54" s="28" t="n">
        <f aca="false">ABS(C54-G54)/C54</f>
        <v>0.00646255209186025</v>
      </c>
      <c r="I54" s="26" t="s">
        <v>68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Data!D48</f>
        <v>352</v>
      </c>
      <c r="D55" s="27" t="n">
        <f aca="false">$B$3*(C55/F43)+(1-$B$3)*(D54+E54)</f>
        <v>304.165569211191</v>
      </c>
      <c r="E55" s="25" t="n">
        <f aca="false">$B$4*(D55-D54)+(1-$B$4)*E54</f>
        <v>1.27446046581693</v>
      </c>
      <c r="F55" s="25" t="n">
        <f aca="false">$B$5*(C55/D55)+(1-$B$5)*F43</f>
        <v>1.15680870984628</v>
      </c>
      <c r="G55" s="27" t="n">
        <f aca="false">(D54+E54)*F43</f>
        <v>349.666324896605</v>
      </c>
      <c r="H55" s="28" t="n">
        <f aca="false">ABS(C55-G55)/C55</f>
        <v>0.00662975881646362</v>
      </c>
      <c r="I55" s="26" t="s">
        <v>68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Data!D49</f>
        <v>294</v>
      </c>
      <c r="D56" s="27" t="n">
        <f aca="false">$B$3*(C56/F44)+(1-$B$3)*(D55+E55)</f>
        <v>305.396944236506</v>
      </c>
      <c r="E56" s="25" t="n">
        <f aca="false">$B$4*(D56-D55)+(1-$B$4)*E55</f>
        <v>1.2585188528312</v>
      </c>
      <c r="F56" s="25" t="n">
        <f aca="false">$B$5*(C56/D56)+(1-$B$5)*F44</f>
        <v>0.96349970789804</v>
      </c>
      <c r="G56" s="27" t="n">
        <f aca="false">(D55+E55)*F44</f>
        <v>298.206507825386</v>
      </c>
      <c r="H56" s="28" t="n">
        <f aca="false">ABS(C56-G56)/C56</f>
        <v>0.0143078497462099</v>
      </c>
      <c r="I56" s="26" t="s">
        <v>68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Data!D50</f>
        <v>403</v>
      </c>
      <c r="D57" s="27" t="n">
        <f aca="false">$B$3*(C57/F45)+(1-$B$3)*(D56+E56)</f>
        <v>306.898559933552</v>
      </c>
      <c r="E57" s="25" t="n">
        <f aca="false">$B$4*(D57-D56)+(1-$B$4)*E56</f>
        <v>1.34846468519041</v>
      </c>
      <c r="F57" s="25" t="n">
        <f aca="false">$B$5*(C57/D57)+(1-$B$5)*F45</f>
        <v>1.30740827851376</v>
      </c>
      <c r="G57" s="27" t="n">
        <f aca="false">(D56+E56)*F45</f>
        <v>373.399291600604</v>
      </c>
      <c r="H57" s="28" t="n">
        <f aca="false">ABS(C57-G57)/C57</f>
        <v>0.0734508893285269</v>
      </c>
      <c r="I57" s="26" t="s">
        <v>68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Data!D51</f>
        <v>353</v>
      </c>
      <c r="D58" s="27" t="n">
        <f aca="false">$B$3*(C58/F46)+(1-$B$3)*(D57+E57)</f>
        <v>308.354027214175</v>
      </c>
      <c r="E58" s="25" t="n">
        <f aca="false">$B$4*(D58-D57)+(1-$B$4)*E57</f>
        <v>1.38805564550059</v>
      </c>
      <c r="F58" s="25" t="n">
        <f aca="false">$B$5*(C58/D58)+(1-$B$5)*F46</f>
        <v>1.14250670829698</v>
      </c>
      <c r="G58" s="27" t="n">
        <f aca="false">(D57+E57)*F46</f>
        <v>341.157316878538</v>
      </c>
      <c r="H58" s="28" t="n">
        <f aca="false">ABS(C58-G58)/C58</f>
        <v>0.0335486773979094</v>
      </c>
      <c r="I58" s="26" t="s">
        <v>68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Data!D52</f>
        <v>278</v>
      </c>
      <c r="D59" s="27" t="n">
        <f aca="false">$B$3*(C59/F47)+(1-$B$3)*(D58+E58)</f>
        <v>309.51856449501</v>
      </c>
      <c r="E59" s="25" t="n">
        <f aca="false">$B$4*(D59-D58)+(1-$B$4)*E58</f>
        <v>1.30535385057444</v>
      </c>
      <c r="F59" s="25" t="n">
        <f aca="false">$B$5*(C59/D59)+(1-$B$5)*F47</f>
        <v>0.902318470093299</v>
      </c>
      <c r="G59" s="27" t="n">
        <f aca="false">(D58+E58)*F47</f>
        <v>299.621508091106</v>
      </c>
      <c r="H59" s="28" t="n">
        <f aca="false">ABS(C59-G59)/C59</f>
        <v>0.0777752089608122</v>
      </c>
      <c r="I59" s="26" t="s">
        <v>68</v>
      </c>
    </row>
    <row r="60" customFormat="false" ht="15" hidden="false" customHeight="false" outlineLevel="0" collapsed="false">
      <c r="A60" s="8" t="n">
        <v>49</v>
      </c>
      <c r="B60" s="29" t="n">
        <f aca="false">EDATE(B59,1)</f>
        <v>45809</v>
      </c>
      <c r="C60" s="23" t="n">
        <f aca="false">Data!D53</f>
        <v>330</v>
      </c>
      <c r="D60" s="24"/>
      <c r="E60" s="24"/>
      <c r="F60" s="24"/>
      <c r="G60" s="30" t="n">
        <f aca="false">($D$59+(A60-48)*$E$59)*F48</f>
        <v>285.121614795199</v>
      </c>
      <c r="H60" s="28" t="n">
        <f aca="false">ABS(C60-G60)/C60</f>
        <v>0.135995106681216</v>
      </c>
      <c r="I60" s="26" t="s">
        <v>69</v>
      </c>
    </row>
    <row r="61" customFormat="false" ht="15" hidden="false" customHeight="false" outlineLevel="0" collapsed="false">
      <c r="A61" s="8" t="n">
        <v>50</v>
      </c>
      <c r="B61" s="29" t="n">
        <f aca="false">EDATE(B60,1)</f>
        <v>45839</v>
      </c>
      <c r="C61" s="23" t="n">
        <f aca="false">Data!D54</f>
        <v>375</v>
      </c>
      <c r="D61" s="24"/>
      <c r="E61" s="24"/>
      <c r="F61" s="24"/>
      <c r="G61" s="30" t="n">
        <f aca="false">($D$59+(A61-48)*$E$59)*F49</f>
        <v>317.082374337813</v>
      </c>
      <c r="H61" s="28" t="n">
        <f aca="false">ABS(C61-G61)/C61</f>
        <v>0.154447001765833</v>
      </c>
      <c r="I61" s="26" t="s">
        <v>69</v>
      </c>
    </row>
    <row r="62" customFormat="false" ht="15" hidden="false" customHeight="false" outlineLevel="0" collapsed="false">
      <c r="A62" s="8" t="n">
        <v>51</v>
      </c>
      <c r="B62" s="29" t="n">
        <f aca="false">EDATE(B61,1)</f>
        <v>45870</v>
      </c>
      <c r="C62" s="23" t="n">
        <f aca="false">Data!D55</f>
        <v>317</v>
      </c>
      <c r="D62" s="24"/>
      <c r="E62" s="24"/>
      <c r="F62" s="24"/>
      <c r="G62" s="30" t="n">
        <f aca="false">($D$59+(A62-48)*$E$59)*F50</f>
        <v>300.124666961905</v>
      </c>
      <c r="H62" s="28" t="n">
        <f aca="false">ABS(C62-G62)/C62</f>
        <v>0.0532344890791628</v>
      </c>
      <c r="I62" s="26" t="s">
        <v>69</v>
      </c>
    </row>
    <row r="63" customFormat="false" ht="15" hidden="false" customHeight="false" outlineLevel="0" collapsed="false">
      <c r="A63" s="8" t="n">
        <v>52</v>
      </c>
      <c r="B63" s="29" t="n">
        <f aca="false">EDATE(B62,1)</f>
        <v>45901</v>
      </c>
      <c r="C63" s="23" t="n">
        <f aca="false">Data!D56</f>
        <v>306</v>
      </c>
      <c r="D63" s="24"/>
      <c r="E63" s="24"/>
      <c r="F63" s="24"/>
      <c r="G63" s="30" t="n">
        <f aca="false">($D$59+(A63-48)*$E$59)*F51</f>
        <v>308.871602392576</v>
      </c>
      <c r="H63" s="28" t="n">
        <f aca="false">ABS(C63-G63)/C63</f>
        <v>0.00938432154436488</v>
      </c>
      <c r="I63" s="26" t="s">
        <v>69</v>
      </c>
    </row>
    <row r="64" customFormat="false" ht="15" hidden="false" customHeight="false" outlineLevel="0" collapsed="false">
      <c r="A64" s="8" t="n">
        <v>53</v>
      </c>
      <c r="B64" s="29" t="n">
        <f aca="false">EDATE(B63,1)</f>
        <v>45931</v>
      </c>
      <c r="C64" s="23" t="n">
        <f aca="false">Data!D57</f>
        <v>285</v>
      </c>
      <c r="D64" s="24"/>
      <c r="E64" s="24"/>
      <c r="F64" s="24"/>
      <c r="G64" s="30" t="n">
        <f aca="false">($D$59+(A64-48)*$E$59)*F52</f>
        <v>297.66776608338</v>
      </c>
      <c r="H64" s="28" t="n">
        <f aca="false">ABS(C64-G64)/C64</f>
        <v>0.0444483020469458</v>
      </c>
      <c r="I64" s="26" t="s">
        <v>69</v>
      </c>
    </row>
    <row r="65" customFormat="false" ht="15" hidden="false" customHeight="false" outlineLevel="0" collapsed="false">
      <c r="A65" s="8" t="n">
        <v>54</v>
      </c>
      <c r="B65" s="29" t="n">
        <f aca="false">EDATE(B64,1)</f>
        <v>45962</v>
      </c>
      <c r="C65" s="23" t="n">
        <f aca="false">Data!D58</f>
        <v>311</v>
      </c>
      <c r="D65" s="24"/>
      <c r="E65" s="24"/>
      <c r="F65" s="24"/>
      <c r="G65" s="30" t="n">
        <f aca="false">($D$59+(A65-48)*$E$59)*F53</f>
        <v>289.147743026276</v>
      </c>
      <c r="H65" s="28" t="n">
        <f aca="false">ABS(C65-G65)/C65</f>
        <v>0.070264491876927</v>
      </c>
      <c r="I65" s="26" t="s">
        <v>69</v>
      </c>
    </row>
    <row r="66" customFormat="false" ht="15" hidden="false" customHeight="false" outlineLevel="0" collapsed="false">
      <c r="A66" s="8" t="n">
        <v>55</v>
      </c>
      <c r="B66" s="29" t="n">
        <f aca="false">EDATE(B65,1)</f>
        <v>45992</v>
      </c>
      <c r="C66" s="23" t="n">
        <f aca="false">Data!D59</f>
        <v>364</v>
      </c>
      <c r="D66" s="24"/>
      <c r="E66" s="24"/>
      <c r="F66" s="24"/>
      <c r="G66" s="30" t="n">
        <f aca="false">($D$59+(A66-48)*$E$59)*F54</f>
        <v>357.574169159923</v>
      </c>
      <c r="H66" s="28" t="n">
        <f aca="false">ABS(C66-G66)/C66</f>
        <v>0.0176533814287829</v>
      </c>
      <c r="I66" s="26" t="s">
        <v>69</v>
      </c>
    </row>
    <row r="67" customFormat="false" ht="15" hidden="false" customHeight="false" outlineLevel="0" collapsed="false">
      <c r="A67" s="8" t="n">
        <v>56</v>
      </c>
      <c r="B67" s="29" t="n">
        <f aca="false">EDATE(B66,1)</f>
        <v>46023</v>
      </c>
      <c r="C67" s="23" t="n">
        <f aca="false">Data!D60</f>
        <v>343</v>
      </c>
      <c r="D67" s="24"/>
      <c r="E67" s="24"/>
      <c r="F67" s="24"/>
      <c r="G67" s="30" t="n">
        <f aca="false">($D$59+(A67-48)*$E$59)*F55</f>
        <v>370.134128897153</v>
      </c>
      <c r="H67" s="28" t="n">
        <f aca="false">ABS(C67-G67)/C67</f>
        <v>0.079108247513566</v>
      </c>
      <c r="I67" s="26" t="s">
        <v>69</v>
      </c>
    </row>
    <row r="68" customFormat="false" ht="15" hidden="false" customHeight="false" outlineLevel="0" collapsed="false">
      <c r="A68" s="8" t="n">
        <v>57</v>
      </c>
      <c r="B68" s="29" t="n">
        <f aca="false">EDATE(B67,1)</f>
        <v>46054</v>
      </c>
      <c r="C68" s="23" t="n">
        <f aca="false">Data!D61</f>
        <v>336</v>
      </c>
      <c r="D68" s="24"/>
      <c r="E68" s="24"/>
      <c r="F68" s="24"/>
      <c r="G68" s="30" t="n">
        <f aca="false">($D$59+(A68-48)*$E$59)*F56</f>
        <v>309.540418963552</v>
      </c>
      <c r="H68" s="28" t="n">
        <f aca="false">ABS(C68-G68)/C68</f>
        <v>0.0787487530846679</v>
      </c>
      <c r="I68" s="26" t="s">
        <v>69</v>
      </c>
    </row>
    <row r="69" customFormat="false" ht="15" hidden="false" customHeight="false" outlineLevel="0" collapsed="false">
      <c r="A69" s="8" t="n">
        <v>58</v>
      </c>
      <c r="B69" s="29" t="n">
        <f aca="false">EDATE(B68,1)</f>
        <v>46082</v>
      </c>
      <c r="C69" s="23" t="n">
        <f aca="false">Data!D62</f>
        <v>405</v>
      </c>
      <c r="D69" s="24"/>
      <c r="E69" s="24"/>
      <c r="F69" s="24"/>
      <c r="G69" s="30" t="n">
        <f aca="false">($D$59+(A69-48)*$E$59)*F57</f>
        <v>421.733437880779</v>
      </c>
      <c r="H69" s="28" t="n">
        <f aca="false">ABS(C69-G69)/C69</f>
        <v>0.0413171305698245</v>
      </c>
      <c r="I69" s="26" t="s">
        <v>69</v>
      </c>
    </row>
    <row r="70" customFormat="false" ht="15" hidden="false" customHeight="false" outlineLevel="0" collapsed="false">
      <c r="A70" s="8" t="n">
        <v>59</v>
      </c>
      <c r="B70" s="29" t="n">
        <f aca="false">EDATE(B69,1)</f>
        <v>46113</v>
      </c>
      <c r="C70" s="23" t="n">
        <f aca="false">Data!D63</f>
        <v>322</v>
      </c>
      <c r="D70" s="24"/>
      <c r="E70" s="24"/>
      <c r="F70" s="24"/>
      <c r="G70" s="30" t="n">
        <f aca="false">($D$59+(A70-48)*$E$59)*F58</f>
        <v>370.03216711881</v>
      </c>
      <c r="H70" s="28" t="n">
        <f aca="false">ABS(C70-G70)/C70</f>
        <v>0.149168220865869</v>
      </c>
      <c r="I70" s="26" t="s">
        <v>69</v>
      </c>
    </row>
    <row r="71" customFormat="false" ht="15" hidden="false" customHeight="false" outlineLevel="0" collapsed="false">
      <c r="A71" s="8" t="n">
        <v>60</v>
      </c>
      <c r="B71" s="29" t="n">
        <f aca="false">EDATE(B70,1)</f>
        <v>46143</v>
      </c>
      <c r="C71" s="23" t="n">
        <f aca="false">Data!D64</f>
        <v>295</v>
      </c>
      <c r="D71" s="24"/>
      <c r="E71" s="24"/>
      <c r="F71" s="24"/>
      <c r="G71" s="30" t="n">
        <f aca="false">($D$59+(A71-48)*$E$59)*F59</f>
        <v>293.41845625318</v>
      </c>
      <c r="H71" s="28" t="n">
        <f aca="false">ABS(C71-G71)/C71</f>
        <v>0.00536116524345643</v>
      </c>
      <c r="I71" s="2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5" t="s">
        <v>70</v>
      </c>
    </row>
    <row r="3" customFormat="false" ht="15" hidden="false" customHeight="false" outlineLevel="0" collapsed="false">
      <c r="A3" s="12" t="s">
        <v>49</v>
      </c>
      <c r="B3" s="18" t="n">
        <v>0.01</v>
      </c>
      <c r="C3" s="6" t="s">
        <v>71</v>
      </c>
    </row>
    <row r="4" customFormat="false" ht="15" hidden="false" customHeight="false" outlineLevel="0" collapsed="false">
      <c r="A4" s="12" t="s">
        <v>51</v>
      </c>
      <c r="B4" s="18" t="n">
        <v>0.29</v>
      </c>
      <c r="C4" s="6" t="s">
        <v>52</v>
      </c>
    </row>
    <row r="5" customFormat="false" ht="15" hidden="false" customHeight="false" outlineLevel="0" collapsed="false">
      <c r="A5" s="12" t="s">
        <v>53</v>
      </c>
      <c r="B5" s="18" t="n">
        <v>0.8</v>
      </c>
      <c r="C5" s="6" t="s">
        <v>54</v>
      </c>
    </row>
    <row r="6" customFormat="false" ht="15" hidden="false" customHeight="false" outlineLevel="0" collapsed="false">
      <c r="A6" s="12" t="s">
        <v>55</v>
      </c>
      <c r="B6" s="15" t="n">
        <v>12</v>
      </c>
      <c r="C6" s="6" t="s">
        <v>72</v>
      </c>
    </row>
    <row r="7" customFormat="false" ht="15" hidden="false" customHeight="false" outlineLevel="0" collapsed="false">
      <c r="A7" s="12" t="s">
        <v>73</v>
      </c>
      <c r="B7" s="6" t="s">
        <v>74</v>
      </c>
    </row>
    <row r="8" customFormat="false" ht="15" hidden="false" customHeight="false" outlineLevel="0" collapsed="false">
      <c r="A8" s="12" t="s">
        <v>75</v>
      </c>
      <c r="B8" s="20" t="n">
        <f aca="false">AVERAGE(H24:H71)</f>
        <v>0.063164962715978</v>
      </c>
    </row>
    <row r="9" customFormat="false" ht="15" hidden="false" customHeight="false" outlineLevel="0" collapsed="false">
      <c r="A9" s="12" t="s">
        <v>76</v>
      </c>
      <c r="B9" s="21" t="n">
        <f aca="false">SUMXMY2(C24:C71,G24:G71)</f>
        <v>29491.3374807019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7" t="s">
        <v>66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Data!D5</f>
        <v>230</v>
      </c>
      <c r="D12" s="24"/>
      <c r="E12" s="24"/>
      <c r="F12" s="25" t="n">
        <f aca="false">C12/$D$23</f>
        <v>0.866290018832392</v>
      </c>
      <c r="G12" s="24"/>
      <c r="H12" s="24"/>
      <c r="I12" s="26" t="s">
        <v>67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Data!D6</f>
        <v>268</v>
      </c>
      <c r="D13" s="24"/>
      <c r="E13" s="24"/>
      <c r="F13" s="25" t="n">
        <f aca="false">C13/$D$23</f>
        <v>1.00941619585687</v>
      </c>
      <c r="G13" s="24"/>
      <c r="H13" s="24"/>
      <c r="I13" s="26" t="s">
        <v>67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Data!D7</f>
        <v>220</v>
      </c>
      <c r="D14" s="24"/>
      <c r="E14" s="24"/>
      <c r="F14" s="25" t="n">
        <f aca="false">C14/$D$23</f>
        <v>0.828625235404896</v>
      </c>
      <c r="G14" s="24"/>
      <c r="H14" s="24"/>
      <c r="I14" s="26" t="s">
        <v>67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Data!D8</f>
        <v>260</v>
      </c>
      <c r="D15" s="24"/>
      <c r="E15" s="24"/>
      <c r="F15" s="25" t="n">
        <f aca="false">C15/$D$23</f>
        <v>0.979284369114878</v>
      </c>
      <c r="G15" s="24"/>
      <c r="H15" s="24"/>
      <c r="I15" s="26" t="s">
        <v>67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Data!D9</f>
        <v>252</v>
      </c>
      <c r="D16" s="24"/>
      <c r="E16" s="24"/>
      <c r="F16" s="25" t="n">
        <f aca="false">C16/$D$23</f>
        <v>0.949152542372881</v>
      </c>
      <c r="G16" s="24"/>
      <c r="H16" s="24"/>
      <c r="I16" s="26" t="s">
        <v>67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Data!D10</f>
        <v>241</v>
      </c>
      <c r="D17" s="24"/>
      <c r="E17" s="24"/>
      <c r="F17" s="25" t="n">
        <f aca="false">C17/$D$23</f>
        <v>0.907721280602637</v>
      </c>
      <c r="G17" s="24"/>
      <c r="H17" s="24"/>
      <c r="I17" s="26" t="s">
        <v>67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Data!D11</f>
        <v>302</v>
      </c>
      <c r="D18" s="24"/>
      <c r="E18" s="24"/>
      <c r="F18" s="25" t="n">
        <f aca="false">C18/$D$23</f>
        <v>1.13747645951036</v>
      </c>
      <c r="G18" s="24"/>
      <c r="H18" s="24"/>
      <c r="I18" s="26" t="s">
        <v>67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Data!D12</f>
        <v>288</v>
      </c>
      <c r="D19" s="24"/>
      <c r="E19" s="24"/>
      <c r="F19" s="25" t="n">
        <f aca="false">C19/$D$23</f>
        <v>1.08474576271186</v>
      </c>
      <c r="G19" s="24"/>
      <c r="H19" s="24"/>
      <c r="I19" s="26" t="s">
        <v>67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Data!D13</f>
        <v>244</v>
      </c>
      <c r="D20" s="24"/>
      <c r="E20" s="24"/>
      <c r="F20" s="25" t="n">
        <f aca="false">C20/$D$23</f>
        <v>0.919020715630885</v>
      </c>
      <c r="G20" s="24"/>
      <c r="H20" s="24"/>
      <c r="I20" s="26" t="s">
        <v>67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Data!D14</f>
        <v>246</v>
      </c>
      <c r="D21" s="24"/>
      <c r="E21" s="24"/>
      <c r="F21" s="25" t="n">
        <f aca="false">C21/$D$23</f>
        <v>0.926553672316384</v>
      </c>
      <c r="G21" s="24"/>
      <c r="H21" s="24"/>
      <c r="I21" s="26" t="s">
        <v>67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Data!D15</f>
        <v>346</v>
      </c>
      <c r="D22" s="24"/>
      <c r="E22" s="24"/>
      <c r="F22" s="25" t="n">
        <f aca="false">C22/$D$23</f>
        <v>1.30320150659134</v>
      </c>
      <c r="G22" s="24"/>
      <c r="H22" s="24"/>
      <c r="I22" s="26" t="s">
        <v>67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Data!D16</f>
        <v>289</v>
      </c>
      <c r="D23" s="27" t="n">
        <f aca="false">AVERAGE(C12:C23)</f>
        <v>265.5</v>
      </c>
      <c r="E23" s="25" t="n">
        <f aca="false">(AVERAGE(C24:C35)-AVERAGE(C12:C23))/$B$6</f>
        <v>0.840277777777776</v>
      </c>
      <c r="F23" s="25" t="n">
        <f aca="false">C23/$D$23</f>
        <v>1.08851224105461</v>
      </c>
      <c r="G23" s="24"/>
      <c r="H23" s="24"/>
      <c r="I23" s="26" t="s">
        <v>67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Data!D17</f>
        <v>251</v>
      </c>
      <c r="D24" s="27" t="n">
        <f aca="false">$B$3*(C24/F12)+(1-$B$3)*(D23+E23)</f>
        <v>266.574288043478</v>
      </c>
      <c r="E24" s="25" t="n">
        <f aca="false">$B$4*(D24-D23)+(1-$B$4)*E23</f>
        <v>0.908140754830913</v>
      </c>
      <c r="F24" s="25" t="n">
        <f aca="false">$B$5*(C24/D24)+(1-$B$5)*F12</f>
        <v>0.92651894830007</v>
      </c>
      <c r="G24" s="27" t="n">
        <f aca="false">(D23+E23)*F12</f>
        <v>230.727924251936</v>
      </c>
      <c r="H24" s="28" t="n">
        <f aca="false">ABS(C24-G24)/C24</f>
        <v>0.0807652420241612</v>
      </c>
      <c r="I24" s="26" t="s">
        <v>68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Data!D18</f>
        <v>277</v>
      </c>
      <c r="D25" s="27" t="n">
        <f aca="false">$B$3*(C25/F13)+(1-$B$3)*(D24+E24)</f>
        <v>267.551764958087</v>
      </c>
      <c r="E25" s="25" t="n">
        <f aca="false">$B$4*(D25-D24)+(1-$B$4)*E24</f>
        <v>0.928248241166571</v>
      </c>
      <c r="F25" s="25" t="n">
        <f aca="false">$B$5*(C25/D25)+(1-$B$5)*F13</f>
        <v>1.03013417608713</v>
      </c>
      <c r="G25" s="27" t="n">
        <f aca="false">(D24+E24)*F13</f>
        <v>270.001095736146</v>
      </c>
      <c r="H25" s="28" t="n">
        <f aca="false">ABS(C25-G25)/C25</f>
        <v>0.0252668023965834</v>
      </c>
      <c r="I25" s="26" t="s">
        <v>68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Data!D19</f>
        <v>256</v>
      </c>
      <c r="D26" s="27" t="n">
        <f aca="false">$B$3*(C26/F14)+(1-$B$3)*(D25+E25)</f>
        <v>268.884667612716</v>
      </c>
      <c r="E26" s="25" t="n">
        <f aca="false">$B$4*(D26-D25)+(1-$B$4)*E25</f>
        <v>1.04559802107055</v>
      </c>
      <c r="F26" s="25" t="n">
        <f aca="false">$B$5*(C26/D26)+(1-$B$5)*F14</f>
        <v>0.927389896989717</v>
      </c>
      <c r="G26" s="27" t="n">
        <f aca="false">(D25+E25)*F14</f>
        <v>222.469314138741</v>
      </c>
      <c r="H26" s="28" t="n">
        <f aca="false">ABS(C26-G26)/C26</f>
        <v>0.130979241645541</v>
      </c>
      <c r="I26" s="26" t="s">
        <v>68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Data!D20</f>
        <v>247</v>
      </c>
      <c r="D27" s="27" t="n">
        <f aca="false">$B$3*(C27/F15)+(1-$B$3)*(D26+E26)</f>
        <v>269.753212977449</v>
      </c>
      <c r="E27" s="25" t="n">
        <f aca="false">$B$4*(D27-D26)+(1-$B$4)*E26</f>
        <v>0.994252750732563</v>
      </c>
      <c r="F27" s="25" t="n">
        <f aca="false">$B$5*(C27/D27)+(1-$B$5)*F15</f>
        <v>0.928378269282756</v>
      </c>
      <c r="G27" s="27" t="n">
        <f aca="false">(D26+E26)*F15</f>
        <v>264.338489886194</v>
      </c>
      <c r="H27" s="28" t="n">
        <f aca="false">ABS(C27-G27)/C27</f>
        <v>0.07019631532872</v>
      </c>
      <c r="I27" s="26" t="s">
        <v>68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Data!D21</f>
        <v>250</v>
      </c>
      <c r="D28" s="27" t="n">
        <f aca="false">$B$3*(C28/F16)+(1-$B$3)*(D27+E27)</f>
        <v>270.673919642328</v>
      </c>
      <c r="E28" s="25" t="n">
        <f aca="false">$B$4*(D28-D27)+(1-$B$4)*E27</f>
        <v>0.972924385835126</v>
      </c>
      <c r="F28" s="25" t="n">
        <f aca="false">$B$5*(C28/D28)+(1-$B$5)*F16</f>
        <v>0.928726964639554</v>
      </c>
      <c r="G28" s="27" t="n">
        <f aca="false">(D27+E27)*F16</f>
        <v>256.980645436918</v>
      </c>
      <c r="H28" s="28" t="n">
        <f aca="false">ABS(C28-G28)/C28</f>
        <v>0.0279225817476706</v>
      </c>
      <c r="I28" s="26" t="s">
        <v>68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Data!D22</f>
        <v>264</v>
      </c>
      <c r="D29" s="27" t="n">
        <f aca="false">$B$3*(C29/F17)+(1-$B$3)*(D28+E28)</f>
        <v>271.83875733062</v>
      </c>
      <c r="E29" s="25" t="n">
        <f aca="false">$B$4*(D29-D28)+(1-$B$4)*E28</f>
        <v>1.02857924354765</v>
      </c>
      <c r="F29" s="25" t="n">
        <f aca="false">$B$5*(C29/D29)+(1-$B$5)*F17</f>
        <v>0.958475412199684</v>
      </c>
      <c r="G29" s="27" t="n">
        <f aca="false">(D28+E28)*F17</f>
        <v>246.579621132909</v>
      </c>
      <c r="H29" s="28" t="n">
        <f aca="false">ABS(C29-G29)/C29</f>
        <v>0.0659862835874666</v>
      </c>
      <c r="I29" s="26" t="s">
        <v>68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Data!D23</f>
        <v>320</v>
      </c>
      <c r="D30" s="27" t="n">
        <f aca="false">$B$3*(C30/F18)+(1-$B$3)*(D29+E29)</f>
        <v>272.951908241539</v>
      </c>
      <c r="E30" s="25" t="n">
        <f aca="false">$B$4*(D30-D29)+(1-$B$4)*E29</f>
        <v>1.05310502708522</v>
      </c>
      <c r="F30" s="25" t="n">
        <f aca="false">$B$5*(C30/D30)+(1-$B$5)*F18</f>
        <v>1.16538944933534</v>
      </c>
      <c r="G30" s="27" t="n">
        <f aca="false">(D29+E29)*F18</f>
        <v>310.380171922405</v>
      </c>
      <c r="H30" s="28" t="n">
        <f aca="false">ABS(C30-G30)/C30</f>
        <v>0.0300619627424831</v>
      </c>
      <c r="I30" s="26" t="s">
        <v>68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Data!D24</f>
        <v>278</v>
      </c>
      <c r="D31" s="27" t="n">
        <f aca="false">$B$3*(C31/F19)+(1-$B$3)*(D30+E30)</f>
        <v>273.827775635938</v>
      </c>
      <c r="E31" s="25" t="n">
        <f aca="false">$B$4*(D31-D30)+(1-$B$4)*E30</f>
        <v>1.00170611360622</v>
      </c>
      <c r="F31" s="25" t="n">
        <f aca="false">$B$5*(C31/D31)+(1-$B$5)*F19</f>
        <v>1.02913849120058</v>
      </c>
      <c r="G31" s="27" t="n">
        <f aca="false">(D30+E30)*F19</f>
        <v>297.225777104948</v>
      </c>
      <c r="H31" s="28" t="n">
        <f aca="false">ABS(C31-G31)/C31</f>
        <v>0.0691574716005318</v>
      </c>
      <c r="I31" s="26" t="s">
        <v>68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Data!D25</f>
        <v>254</v>
      </c>
      <c r="D32" s="27" t="n">
        <f aca="false">$B$3*(C32/F20)+(1-$B$3)*(D31+E31)</f>
        <v>274.844998407458</v>
      </c>
      <c r="E32" s="25" t="n">
        <f aca="false">$B$4*(D32-D31)+(1-$B$4)*E31</f>
        <v>1.00620594440139</v>
      </c>
      <c r="F32" s="25" t="n">
        <f aca="false">$B$5*(C32/D32)+(1-$B$5)*F20</f>
        <v>0.923129949225641</v>
      </c>
      <c r="G32" s="27" t="n">
        <f aca="false">(D31+E31)*F20</f>
        <v>252.573986993931</v>
      </c>
      <c r="H32" s="28" t="n">
        <f aca="false">ABS(C32-G32)/C32</f>
        <v>0.00561422443334257</v>
      </c>
      <c r="I32" s="26" t="s">
        <v>68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Data!D26</f>
        <v>297</v>
      </c>
      <c r="D33" s="27" t="n">
        <f aca="false">$B$3*(C33/F21)+(1-$B$3)*(D32+E32)</f>
        <v>276.298119137609</v>
      </c>
      <c r="E33" s="25" t="n">
        <f aca="false">$B$4*(D33-D32)+(1-$B$4)*E32</f>
        <v>1.13581123226881</v>
      </c>
      <c r="F33" s="25" t="n">
        <f aca="false">$B$5*(C33/D33)+(1-$B$5)*F21</f>
        <v>1.04525144177466</v>
      </c>
      <c r="G33" s="27" t="n">
        <f aca="false">(D32+E32)*F21</f>
        <v>255.590946405113</v>
      </c>
      <c r="H33" s="28" t="n">
        <f aca="false">ABS(C33-G33)/C33</f>
        <v>0.139424422878408</v>
      </c>
      <c r="I33" s="26" t="s">
        <v>68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Data!D27</f>
        <v>352</v>
      </c>
      <c r="D34" s="27" t="n">
        <f aca="false">$B$3*(C34/F22)+(1-$B$3)*(D33+E33)</f>
        <v>277.360631528607</v>
      </c>
      <c r="E34" s="25" t="n">
        <f aca="false">$B$4*(D34-D33)+(1-$B$4)*E33</f>
        <v>1.11455456830019</v>
      </c>
      <c r="F34" s="25" t="n">
        <f aca="false">$B$5*(C34/D34)+(1-$B$5)*F22</f>
        <v>1.2759249812241</v>
      </c>
      <c r="G34" s="27" t="n">
        <f aca="false">(D33+E33)*F22</f>
        <v>361.552316037581</v>
      </c>
      <c r="H34" s="28" t="n">
        <f aca="false">ABS(C34-G34)/C34</f>
        <v>0.0271372614704011</v>
      </c>
      <c r="I34" s="26" t="s">
        <v>68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Data!D28</f>
        <v>261</v>
      </c>
      <c r="D35" s="27" t="n">
        <f aca="false">$B$3*(C35/F23)+(1-$B$3)*(D34+E34)</f>
        <v>278.088202402028</v>
      </c>
      <c r="E35" s="25" t="n">
        <f aca="false">$B$4*(D35-D34)+(1-$B$4)*E34</f>
        <v>1.00232929678525</v>
      </c>
      <c r="F35" s="25" t="n">
        <f aca="false">$B$5*(C35/D35)+(1-$B$5)*F23</f>
        <v>0.96854336198022</v>
      </c>
      <c r="G35" s="27" t="n">
        <f aca="false">(D34+E34)*F23</f>
        <v>303.123648896445</v>
      </c>
      <c r="H35" s="28" t="n">
        <f aca="false">ABS(C35-G35)/C35</f>
        <v>0.161393290790977</v>
      </c>
      <c r="I35" s="26" t="s">
        <v>68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Data!D29</f>
        <v>272</v>
      </c>
      <c r="D36" s="27" t="n">
        <f aca="false">$B$3*(C36/F24)+(1-$B$3)*(D35+E35)</f>
        <v>279.235346158512</v>
      </c>
      <c r="E36" s="25" t="n">
        <f aca="false">$B$4*(D36-D35)+(1-$B$4)*E35</f>
        <v>1.04432549009801</v>
      </c>
      <c r="F36" s="25" t="n">
        <f aca="false">$B$5*(C36/D36)+(1-$B$5)*F24</f>
        <v>0.964574763029108</v>
      </c>
      <c r="G36" s="27" t="n">
        <f aca="false">(D35+E35)*F24</f>
        <v>258.582665910092</v>
      </c>
      <c r="H36" s="28" t="n">
        <f aca="false">ABS(C36-G36)/C36</f>
        <v>0.0493284341540745</v>
      </c>
      <c r="I36" s="26" t="s">
        <v>68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Data!D30</f>
        <v>319</v>
      </c>
      <c r="D37" s="27" t="n">
        <f aca="false">$B$3*(C37/F25)+(1-$B$3)*(D36+E36)</f>
        <v>280.573558911795</v>
      </c>
      <c r="E37" s="25" t="n">
        <f aca="false">$B$4*(D37-D36)+(1-$B$4)*E36</f>
        <v>1.12955279642145</v>
      </c>
      <c r="F37" s="25" t="n">
        <f aca="false">$B$5*(C37/D37)+(1-$B$5)*F25</f>
        <v>1.11559223043782</v>
      </c>
      <c r="G37" s="27" t="n">
        <f aca="false">(D36+E36)*F25</f>
        <v>288.725668627713</v>
      </c>
      <c r="H37" s="28" t="n">
        <f aca="false">ABS(C37-G37)/C37</f>
        <v>0.0949038601012134</v>
      </c>
      <c r="I37" s="26" t="s">
        <v>68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Data!D31</f>
        <v>257</v>
      </c>
      <c r="D38" s="27" t="n">
        <f aca="false">$B$3*(C38/F26)+(1-$B$3)*(D37+E37)</f>
        <v>281.65729904881</v>
      </c>
      <c r="E38" s="25" t="n">
        <f aca="false">$B$4*(D38-D37)+(1-$B$4)*E37</f>
        <v>1.11626712519361</v>
      </c>
      <c r="F38" s="25" t="n">
        <f aca="false">$B$5*(C38/D38)+(1-$B$5)*F26</f>
        <v>0.915443084844653</v>
      </c>
      <c r="G38" s="27" t="n">
        <f aca="false">(D37+E37)*F26</f>
        <v>261.248619748765</v>
      </c>
      <c r="H38" s="28" t="n">
        <f aca="false">ABS(C38-G38)/C38</f>
        <v>0.0165315943531721</v>
      </c>
      <c r="I38" s="26" t="s">
        <v>68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Data!D32</f>
        <v>286</v>
      </c>
      <c r="D39" s="27" t="n">
        <f aca="false">$B$3*(C39/F27)+(1-$B$3)*(D38+E38)</f>
        <v>283.026471340069</v>
      </c>
      <c r="E39" s="25" t="n">
        <f aca="false">$B$4*(D39-D38)+(1-$B$4)*E38</f>
        <v>1.18960962335263</v>
      </c>
      <c r="F39" s="25" t="n">
        <f aca="false">$B$5*(C39/D39)+(1-$B$5)*F27</f>
        <v>0.994080602399638</v>
      </c>
      <c r="G39" s="27" t="n">
        <f aca="false">(D38+E38)*F27</f>
        <v>262.520833963534</v>
      </c>
      <c r="H39" s="28" t="n">
        <f aca="false">ABS(C39-G39)/C39</f>
        <v>0.0820949861414887</v>
      </c>
      <c r="I39" s="26" t="s">
        <v>68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Data!D33</f>
        <v>252</v>
      </c>
      <c r="D40" s="27" t="n">
        <f aca="false">$B$3*(C40/F28)+(1-$B$3)*(D39+E39)</f>
        <v>284.087311813497</v>
      </c>
      <c r="E40" s="25" t="n">
        <f aca="false">$B$4*(D40-D39)+(1-$B$4)*E39</f>
        <v>1.15226656987438</v>
      </c>
      <c r="F40" s="25" t="n">
        <f aca="false">$B$5*(C40/D40)+(1-$B$5)*F28</f>
        <v>0.895386378697632</v>
      </c>
      <c r="G40" s="27" t="n">
        <f aca="false">(D39+E39)*F28</f>
        <v>263.959138174908</v>
      </c>
      <c r="H40" s="28" t="n">
        <f aca="false">ABS(C40-G40)/C40</f>
        <v>0.0474568975194775</v>
      </c>
      <c r="I40" s="26" t="s">
        <v>68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Data!D34</f>
        <v>272</v>
      </c>
      <c r="D41" s="27" t="n">
        <f aca="false">$B$3*(C41/F29)+(1-$B$3)*(D40+E40)</f>
        <v>285.225022741683</v>
      </c>
      <c r="E41" s="25" t="n">
        <f aca="false">$B$4*(D41-D40)+(1-$B$4)*E40</f>
        <v>1.14804543378489</v>
      </c>
      <c r="F41" s="25" t="n">
        <f aca="false">$B$5*(C41/D41)+(1-$B$5)*F29</f>
        <v>0.954601498954001</v>
      </c>
      <c r="G41" s="27" t="n">
        <f aca="false">(D40+E40)*F29</f>
        <v>273.395122466666</v>
      </c>
      <c r="H41" s="28" t="n">
        <f aca="false">ABS(C41-G41)/C41</f>
        <v>0.00512912671568281</v>
      </c>
      <c r="I41" s="26" t="s">
        <v>68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Data!D35</f>
        <v>319</v>
      </c>
      <c r="D42" s="27" t="n">
        <f aca="false">$B$3*(C42/F30)+(1-$B$3)*(D41+E41)</f>
        <v>286.246619868991</v>
      </c>
      <c r="E42" s="25" t="n">
        <f aca="false">$B$4*(D42-D41)+(1-$B$4)*E41</f>
        <v>1.11137542490651</v>
      </c>
      <c r="F42" s="25" t="n">
        <f aca="false">$B$5*(C42/D42)+(1-$B$5)*F30</f>
        <v>1.12461680172147</v>
      </c>
      <c r="G42" s="27" t="n">
        <f aca="false">(D41+E41)*F30</f>
        <v>333.73615222548</v>
      </c>
      <c r="H42" s="28" t="n">
        <f aca="false">ABS(C42-G42)/C42</f>
        <v>0.0461948345626329</v>
      </c>
      <c r="I42" s="26" t="s">
        <v>68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Data!D36</f>
        <v>334</v>
      </c>
      <c r="D43" s="27" t="n">
        <f aca="false">$B$3*(C43/F31)+(1-$B$3)*(D42+E42)</f>
        <v>287.729848320638</v>
      </c>
      <c r="E43" s="25" t="n">
        <f aca="false">$B$4*(D43-D42)+(1-$B$4)*E42</f>
        <v>1.21921280266126</v>
      </c>
      <c r="F43" s="25" t="n">
        <f aca="false">$B$5*(C43/D43)+(1-$B$5)*F31</f>
        <v>1.13447657342473</v>
      </c>
      <c r="G43" s="27" t="n">
        <f aca="false">(D42+E42)*F31</f>
        <v>295.731173711185</v>
      </c>
      <c r="H43" s="28" t="n">
        <f aca="false">ABS(C43-G43)/C43</f>
        <v>0.114577324218009</v>
      </c>
      <c r="I43" s="26" t="s">
        <v>68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Data!D37</f>
        <v>284</v>
      </c>
      <c r="D44" s="27" t="n">
        <f aca="false">$B$3*(C44/F32)+(1-$B$3)*(D43+E43)</f>
        <v>289.136060449786</v>
      </c>
      <c r="E44" s="25" t="n">
        <f aca="false">$B$4*(D44-D43)+(1-$B$4)*E43</f>
        <v>1.27344260734229</v>
      </c>
      <c r="F44" s="25" t="n">
        <f aca="false">$B$5*(C44/D44)+(1-$B$5)*F32</f>
        <v>0.970415211869401</v>
      </c>
      <c r="G44" s="27" t="n">
        <f aca="false">(D43+E43)*F32</f>
        <v>266.737532123548</v>
      </c>
      <c r="H44" s="28" t="n">
        <f aca="false">ABS(C44-G44)/C44</f>
        <v>0.060783337593141</v>
      </c>
      <c r="I44" s="26" t="s">
        <v>68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Data!D38</f>
        <v>358</v>
      </c>
      <c r="D45" s="27" t="n">
        <f aca="false">$B$3*(C45/F33)+(1-$B$3)*(D44+E44)</f>
        <v>290.930421240527</v>
      </c>
      <c r="E45" s="25" t="n">
        <f aca="false">$B$4*(D45-D44)+(1-$B$4)*E44</f>
        <v>1.42450888052809</v>
      </c>
      <c r="F45" s="25" t="n">
        <f aca="false">$B$5*(C45/D45)+(1-$B$5)*F33</f>
        <v>1.19347810713989</v>
      </c>
      <c r="G45" s="27" t="n">
        <f aca="false">(D44+E44)*F33</f>
        <v>303.550951775525</v>
      </c>
      <c r="H45" s="28" t="n">
        <f aca="false">ABS(C45-G45)/C45</f>
        <v>0.152092313476188</v>
      </c>
      <c r="I45" s="26" t="s">
        <v>68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Data!D39</f>
        <v>321</v>
      </c>
      <c r="D46" s="27" t="n">
        <f aca="false">$B$3*(C46/F34)+(1-$B$3)*(D45+E45)</f>
        <v>291.947202711599</v>
      </c>
      <c r="E46" s="25" t="n">
        <f aca="false">$B$4*(D46-D45)+(1-$B$4)*E45</f>
        <v>1.30626793178583</v>
      </c>
      <c r="F46" s="25" t="n">
        <f aca="false">$B$5*(C46/D46)+(1-$B$5)*F34</f>
        <v>1.13479609583696</v>
      </c>
      <c r="G46" s="27" t="n">
        <f aca="false">(D45+E45)*F34</f>
        <v>373.022958725479</v>
      </c>
      <c r="H46" s="28" t="n">
        <f aca="false">ABS(C46-G46)/C46</f>
        <v>0.162065291979686</v>
      </c>
      <c r="I46" s="26" t="s">
        <v>68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Data!D40</f>
        <v>285</v>
      </c>
      <c r="D47" s="27" t="n">
        <f aca="false">$B$3*(C47/F35)+(1-$B$3)*(D46+E46)</f>
        <v>293.263499080612</v>
      </c>
      <c r="E47" s="25" t="n">
        <f aca="false">$B$4*(D47-D46)+(1-$B$4)*E46</f>
        <v>1.30917617858156</v>
      </c>
      <c r="F47" s="25" t="n">
        <f aca="false">$B$5*(C47/D47)+(1-$B$5)*F35</f>
        <v>0.971166490074636</v>
      </c>
      <c r="G47" s="27" t="n">
        <f aca="false">(D46+E46)*F35</f>
        <v>284.028702369312</v>
      </c>
      <c r="H47" s="28" t="n">
        <f aca="false">ABS(C47-G47)/C47</f>
        <v>0.0034080618620638</v>
      </c>
      <c r="I47" s="26" t="s">
        <v>68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Data!D41</f>
        <v>270</v>
      </c>
      <c r="D48" s="27" t="n">
        <f aca="false">$B$3*(C48/F36)+(1-$B$3)*(D47+E47)</f>
        <v>294.426109446206</v>
      </c>
      <c r="E48" s="25" t="n">
        <f aca="false">$B$4*(D48-D47)+(1-$B$4)*E47</f>
        <v>1.2666720928154</v>
      </c>
      <c r="F48" s="25" t="n">
        <f aca="false">$B$5*(C48/D48)+(1-$B$5)*F36</f>
        <v>0.926545541300146</v>
      </c>
      <c r="G48" s="27" t="n">
        <f aca="false">(D47+E47)*F36</f>
        <v>284.137368432987</v>
      </c>
      <c r="H48" s="28" t="n">
        <f aca="false">ABS(C48-G48)/C48</f>
        <v>0.0523606238258765</v>
      </c>
      <c r="I48" s="26" t="s">
        <v>68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Data!D42</f>
        <v>299</v>
      </c>
      <c r="D49" s="27" t="n">
        <f aca="false">$B$3*(C49/F37)+(1-$B$3)*(D48+E48)</f>
        <v>295.416044494436</v>
      </c>
      <c r="E49" s="25" t="n">
        <f aca="false">$B$4*(D49-D48)+(1-$B$4)*E48</f>
        <v>1.18641834988537</v>
      </c>
      <c r="F49" s="25" t="n">
        <f aca="false">$B$5*(C49/D49)+(1-$B$5)*F37</f>
        <v>1.0328239595757</v>
      </c>
      <c r="G49" s="27" t="n">
        <f aca="false">(D48+E48)*F37</f>
        <v>329.872569681481</v>
      </c>
      <c r="H49" s="28" t="n">
        <f aca="false">ABS(C49-G49)/C49</f>
        <v>0.103252741409637</v>
      </c>
      <c r="I49" s="26" t="s">
        <v>68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Data!D43</f>
        <v>286</v>
      </c>
      <c r="D50" s="27" t="n">
        <f aca="false">$B$3*(C50/F38)+(1-$B$3)*(D49+E49)</f>
        <v>296.760608409905</v>
      </c>
      <c r="E50" s="25" t="n">
        <f aca="false">$B$4*(D50-D49)+(1-$B$4)*E49</f>
        <v>1.23228056390472</v>
      </c>
      <c r="F50" s="25" t="n">
        <f aca="false">$B$5*(C50/D50)+(1-$B$5)*F38</f>
        <v>0.954080431637159</v>
      </c>
      <c r="G50" s="27" t="n">
        <f aca="false">(D49+E49)*F38</f>
        <v>271.522673558727</v>
      </c>
      <c r="H50" s="28" t="n">
        <f aca="false">ABS(C50-G50)/C50</f>
        <v>0.0506200225219346</v>
      </c>
      <c r="I50" s="26" t="s">
        <v>68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Data!D44</f>
        <v>293</v>
      </c>
      <c r="D51" s="27" t="n">
        <f aca="false">$B$3*(C51/F39)+(1-$B$3)*(D50+E50)</f>
        <v>297.96040719543</v>
      </c>
      <c r="E51" s="25" t="n">
        <f aca="false">$B$4*(D51-D50)+(1-$B$4)*E50</f>
        <v>1.22286084817453</v>
      </c>
      <c r="F51" s="25" t="n">
        <f aca="false">$B$5*(C51/D51)+(1-$B$5)*F39</f>
        <v>0.985497821603591</v>
      </c>
      <c r="G51" s="27" t="n">
        <f aca="false">(D50+E50)*F39</f>
        <v>296.228950581893</v>
      </c>
      <c r="H51" s="28" t="n">
        <f aca="false">ABS(C51-G51)/C51</f>
        <v>0.0110203091532188</v>
      </c>
      <c r="I51" s="26" t="s">
        <v>68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Data!D45</f>
        <v>284</v>
      </c>
      <c r="D52" s="27" t="n">
        <f aca="false">$B$3*(C52/F40)+(1-$B$3)*(D51+E51)</f>
        <v>299.363250422641</v>
      </c>
      <c r="E52" s="25" t="n">
        <f aca="false">$B$4*(D52-D51)+(1-$B$4)*E51</f>
        <v>1.27505573809521</v>
      </c>
      <c r="F52" s="25" t="n">
        <f aca="false">$B$5*(C52/D52)+(1-$B$5)*F40</f>
        <v>0.938021467049713</v>
      </c>
      <c r="G52" s="27" t="n">
        <f aca="false">(D51+E51)*F40</f>
        <v>267.884622940486</v>
      </c>
      <c r="H52" s="28" t="n">
        <f aca="false">ABS(C52-G52)/C52</f>
        <v>0.056744285420825</v>
      </c>
      <c r="I52" s="26" t="s">
        <v>68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Data!D46</f>
        <v>274</v>
      </c>
      <c r="D53" s="27" t="n">
        <f aca="false">$B$3*(C53/F41)+(1-$B$3)*(D52+E52)</f>
        <v>300.502230764686</v>
      </c>
      <c r="E53" s="25" t="n">
        <f aca="false">$B$4*(D53-D52)+(1-$B$4)*E52</f>
        <v>1.23559387324063</v>
      </c>
      <c r="F53" s="25" t="n">
        <f aca="false">$B$5*(C53/D53)+(1-$B$5)*F41</f>
        <v>0.920365799886435</v>
      </c>
      <c r="G53" s="27" t="n">
        <f aca="false">(D52+E52)*F41</f>
        <v>286.989777704031</v>
      </c>
      <c r="H53" s="28" t="n">
        <f aca="false">ABS(C53-G53)/C53</f>
        <v>0.0474079478249294</v>
      </c>
      <c r="I53" s="26" t="s">
        <v>68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Data!D47</f>
        <v>340</v>
      </c>
      <c r="D54" s="27" t="n">
        <f aca="false">$B$3*(C54/F42)+(1-$B$3)*(D53+E53)</f>
        <v>301.743698395959</v>
      </c>
      <c r="E54" s="25" t="n">
        <f aca="false">$B$4*(D54-D53)+(1-$B$4)*E53</f>
        <v>1.23729726307016</v>
      </c>
      <c r="F54" s="25" t="n">
        <f aca="false">$B$5*(C54/D54)+(1-$B$5)*F42</f>
        <v>1.12635063602868</v>
      </c>
      <c r="G54" s="27" t="n">
        <f aca="false">(D53+E53)*F42</f>
        <v>339.339427302698</v>
      </c>
      <c r="H54" s="28" t="n">
        <f aca="false">ABS(C54-G54)/C54</f>
        <v>0.0019428608744184</v>
      </c>
      <c r="I54" s="26" t="s">
        <v>68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Data!D48</f>
        <v>352</v>
      </c>
      <c r="D55" s="27" t="n">
        <f aca="false">$B$3*(C55/F43)+(1-$B$3)*(D54+E54)</f>
        <v>303.053938180945</v>
      </c>
      <c r="E55" s="25" t="n">
        <f aca="false">$B$4*(D55-D54)+(1-$B$4)*E54</f>
        <v>1.25845059442557</v>
      </c>
      <c r="F55" s="25" t="n">
        <f aca="false">$B$5*(C55/D55)+(1-$B$5)*F43</f>
        <v>1.15610284021746</v>
      </c>
      <c r="G55" s="27" t="n">
        <f aca="false">(D54+E54)*F43</f>
        <v>343.724841768069</v>
      </c>
      <c r="H55" s="28" t="n">
        <f aca="false">ABS(C55-G55)/C55</f>
        <v>0.0235089722498045</v>
      </c>
      <c r="I55" s="26" t="s">
        <v>68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Data!D49</f>
        <v>294</v>
      </c>
      <c r="D56" s="27" t="n">
        <f aca="false">$B$3*(C56/F44)+(1-$B$3)*(D55+E55)</f>
        <v>304.298895878599</v>
      </c>
      <c r="E56" s="25" t="n">
        <f aca="false">$B$4*(D56-D55)+(1-$B$4)*E55</f>
        <v>1.25453765436181</v>
      </c>
      <c r="F56" s="25" t="n">
        <f aca="false">$B$5*(C56/D56)+(1-$B$5)*F44</f>
        <v>0.96700730593688</v>
      </c>
      <c r="G56" s="27" t="n">
        <f aca="false">(D55+E55)*F44</f>
        <v>295.309371227935</v>
      </c>
      <c r="H56" s="28" t="n">
        <f aca="false">ABS(C56-G56)/C56</f>
        <v>0.00445364363243024</v>
      </c>
      <c r="I56" s="26" t="s">
        <v>68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Data!D50</f>
        <v>403</v>
      </c>
      <c r="D57" s="27" t="n">
        <f aca="false">$B$3*(C57/F45)+(1-$B$3)*(D56+E56)</f>
        <v>305.874584514178</v>
      </c>
      <c r="E57" s="25" t="n">
        <f aca="false">$B$4*(D57-D56)+(1-$B$4)*E56</f>
        <v>1.34767143891497</v>
      </c>
      <c r="F57" s="25" t="n">
        <f aca="false">$B$5*(C57/D57)+(1-$B$5)*F45</f>
        <v>1.29272239031454</v>
      </c>
      <c r="G57" s="27" t="n">
        <f aca="false">(D56+E56)*F45</f>
        <v>364.671333483011</v>
      </c>
      <c r="H57" s="28" t="n">
        <f aca="false">ABS(C57-G57)/C57</f>
        <v>0.0951083536401721</v>
      </c>
      <c r="I57" s="26" t="s">
        <v>68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Data!D51</f>
        <v>353</v>
      </c>
      <c r="D58" s="27" t="n">
        <f aca="false">$B$3*(C58/F46)+(1-$B$3)*(D57+E57)</f>
        <v>307.260724391663</v>
      </c>
      <c r="E58" s="25" t="n">
        <f aca="false">$B$4*(D58-D57)+(1-$B$4)*E57</f>
        <v>1.35882728610024</v>
      </c>
      <c r="F58" s="25" t="n">
        <f aca="false">$B$5*(C58/D58)+(1-$B$5)*F46</f>
        <v>1.14604837564555</v>
      </c>
      <c r="G58" s="27" t="n">
        <f aca="false">(D57+E57)*F46</f>
        <v>348.634616609794</v>
      </c>
      <c r="H58" s="28" t="n">
        <f aca="false">ABS(C58-G58)/C58</f>
        <v>0.0123665251847192</v>
      </c>
      <c r="I58" s="26" t="s">
        <v>68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Data!D52</f>
        <v>278</v>
      </c>
      <c r="D59" s="27" t="n">
        <f aca="false">$B$3*(C59/F47)+(1-$B$3)*(D58+E58)</f>
        <v>308.39589314966</v>
      </c>
      <c r="E59" s="25" t="n">
        <f aca="false">$B$4*(D59-D58)+(1-$B$4)*E58</f>
        <v>1.29396631295037</v>
      </c>
      <c r="F59" s="25" t="n">
        <f aca="false">$B$5*(C59/D59)+(1-$B$5)*F47</f>
        <v>0.915384276157403</v>
      </c>
      <c r="G59" s="27" t="n">
        <f aca="false">(D58+E58)*F47</f>
        <v>299.720966771301</v>
      </c>
      <c r="H59" s="28" t="n">
        <f aca="false">ABS(C59-G59)/C59</f>
        <v>0.0781329739974862</v>
      </c>
      <c r="I59" s="26" t="s">
        <v>68</v>
      </c>
    </row>
    <row r="60" customFormat="false" ht="15" hidden="false" customHeight="false" outlineLevel="0" collapsed="false">
      <c r="A60" s="8" t="n">
        <v>49</v>
      </c>
      <c r="B60" s="22" t="n">
        <f aca="false">Data!B53</f>
        <v>45809</v>
      </c>
      <c r="C60" s="23" t="n">
        <f aca="false">Data!D53</f>
        <v>330</v>
      </c>
      <c r="D60" s="27" t="n">
        <f aca="false">$B$3*(C60/F48)+(1-$B$3)*(D59+E59)</f>
        <v>310.154577488976</v>
      </c>
      <c r="E60" s="25" t="n">
        <f aca="false">$B$4*(D60-D59)+(1-$B$4)*E59</f>
        <v>1.42873454059629</v>
      </c>
      <c r="F60" s="25" t="n">
        <f aca="false">$B$5*(C60/D60)+(1-$B$5)*F48</f>
        <v>1.03649757736906</v>
      </c>
      <c r="G60" s="27" t="n">
        <f aca="false">(D59+E59)*F48</f>
        <v>286.941758470951</v>
      </c>
      <c r="H60" s="28" t="n">
        <f aca="false">ABS(C60-G60)/C60</f>
        <v>0.130479519784997</v>
      </c>
      <c r="I60" s="26" t="s">
        <v>68</v>
      </c>
    </row>
    <row r="61" customFormat="false" ht="15" hidden="false" customHeight="false" outlineLevel="0" collapsed="false">
      <c r="A61" s="8" t="n">
        <v>50</v>
      </c>
      <c r="B61" s="22" t="n">
        <f aca="false">Data!B54</f>
        <v>45839</v>
      </c>
      <c r="C61" s="23" t="n">
        <f aca="false">Data!D54</f>
        <v>375</v>
      </c>
      <c r="D61" s="27" t="n">
        <f aca="false">$B$3*(C61/F49)+(1-$B$3)*(D60+E60)</f>
        <v>312.098300953278</v>
      </c>
      <c r="E61" s="25" t="n">
        <f aca="false">$B$4*(D61-D60)+(1-$B$4)*E60</f>
        <v>1.57808132847085</v>
      </c>
      <c r="F61" s="25" t="n">
        <f aca="false">$B$5*(C61/D61)+(1-$B$5)*F49</f>
        <v>1.16780039968255</v>
      </c>
      <c r="G61" s="27" t="n">
        <f aca="false">(D60+E60)*F49</f>
        <v>321.810710068093</v>
      </c>
      <c r="H61" s="28" t="n">
        <f aca="false">ABS(C61-G61)/C61</f>
        <v>0.141838106485085</v>
      </c>
      <c r="I61" s="26" t="s">
        <v>68</v>
      </c>
    </row>
    <row r="62" customFormat="false" ht="15" hidden="false" customHeight="false" outlineLevel="0" collapsed="false">
      <c r="A62" s="8" t="n">
        <v>51</v>
      </c>
      <c r="B62" s="22" t="n">
        <f aca="false">Data!B55</f>
        <v>45870</v>
      </c>
      <c r="C62" s="23" t="n">
        <f aca="false">Data!D55</f>
        <v>317</v>
      </c>
      <c r="D62" s="27" t="n">
        <f aca="false">$B$3*(C62/F50)+(1-$B$3)*(D61+E61)</f>
        <v>313.862189486366</v>
      </c>
      <c r="E62" s="25" t="n">
        <f aca="false">$B$4*(D62-D61)+(1-$B$4)*E61</f>
        <v>1.63196541780982</v>
      </c>
      <c r="F62" s="25" t="n">
        <f aca="false">$B$5*(C62/D62)+(1-$B$5)*F50</f>
        <v>0.998814018206437</v>
      </c>
      <c r="G62" s="27" t="n">
        <f aca="false">(D61+E61)*F50</f>
        <v>299.272498201753</v>
      </c>
      <c r="H62" s="28" t="n">
        <f aca="false">ABS(C62-G62)/C62</f>
        <v>0.055922718606457</v>
      </c>
      <c r="I62" s="26" t="s">
        <v>68</v>
      </c>
    </row>
    <row r="63" customFormat="false" ht="15" hidden="false" customHeight="false" outlineLevel="0" collapsed="false">
      <c r="A63" s="8" t="n">
        <v>52</v>
      </c>
      <c r="B63" s="22" t="n">
        <f aca="false">Data!B56</f>
        <v>45901</v>
      </c>
      <c r="C63" s="23" t="n">
        <f aca="false">Data!D56</f>
        <v>306</v>
      </c>
      <c r="D63" s="27" t="n">
        <f aca="false">$B$3*(C63/F51)+(1-$B$3)*(D62+E62)</f>
        <v>315.44424304969</v>
      </c>
      <c r="E63" s="25" t="n">
        <f aca="false">$B$4*(D63-D62)+(1-$B$4)*E62</f>
        <v>1.61749098000911</v>
      </c>
      <c r="F63" s="25" t="n">
        <f aca="false">$B$5*(C63/D63)+(1-$B$5)*F51</f>
        <v>0.973147963978587</v>
      </c>
      <c r="G63" s="27" t="n">
        <f aca="false">(D62+E62)*F51</f>
        <v>310.918802386731</v>
      </c>
      <c r="H63" s="28" t="n">
        <f aca="false">ABS(C63-G63)/C63</f>
        <v>0.0160745176036957</v>
      </c>
      <c r="I63" s="26" t="s">
        <v>68</v>
      </c>
    </row>
    <row r="64" customFormat="false" ht="15" hidden="false" customHeight="false" outlineLevel="0" collapsed="false">
      <c r="A64" s="8" t="n">
        <v>53</v>
      </c>
      <c r="B64" s="22" t="n">
        <f aca="false">Data!B57</f>
        <v>45931</v>
      </c>
      <c r="C64" s="23" t="n">
        <f aca="false">Data!D57</f>
        <v>285</v>
      </c>
      <c r="D64" s="27" t="n">
        <f aca="false">$B$3*(C64/F52)+(1-$B$3)*(D63+E63)</f>
        <v>316.929426685616</v>
      </c>
      <c r="E64" s="25" t="n">
        <f aca="false">$B$4*(D64-D63)+(1-$B$4)*E63</f>
        <v>1.57912185022491</v>
      </c>
      <c r="F64" s="25" t="n">
        <f aca="false">$B$5*(C64/D64)+(1-$B$5)*F52</f>
        <v>0.907007355424026</v>
      </c>
      <c r="G64" s="27" t="n">
        <f aca="false">(D63+E63)*F52</f>
        <v>297.410712899864</v>
      </c>
      <c r="H64" s="28" t="n">
        <f aca="false">ABS(C64-G64)/C64</f>
        <v>0.043546361052156</v>
      </c>
      <c r="I64" s="26" t="s">
        <v>68</v>
      </c>
    </row>
    <row r="65" customFormat="false" ht="15" hidden="false" customHeight="false" outlineLevel="0" collapsed="false">
      <c r="A65" s="8" t="n">
        <v>54</v>
      </c>
      <c r="B65" s="22" t="n">
        <f aca="false">Data!B58</f>
        <v>45962</v>
      </c>
      <c r="C65" s="23" t="n">
        <f aca="false">Data!D58</f>
        <v>311</v>
      </c>
      <c r="D65" s="27" t="n">
        <f aca="false">$B$3*(C65/F53)+(1-$B$3)*(D64+E64)</f>
        <v>318.702554277453</v>
      </c>
      <c r="E65" s="25" t="n">
        <f aca="false">$B$4*(D65-D64)+(1-$B$4)*E64</f>
        <v>1.63538351529243</v>
      </c>
      <c r="F65" s="25" t="n">
        <f aca="false">$B$5*(C65/D65)+(1-$B$5)*F53</f>
        <v>0.964738381076839</v>
      </c>
      <c r="G65" s="27" t="n">
        <f aca="false">(D64+E64)*F53</f>
        <v>293.144375043856</v>
      </c>
      <c r="H65" s="28" t="n">
        <f aca="false">ABS(C65-G65)/C65</f>
        <v>0.0574135850679858</v>
      </c>
      <c r="I65" s="26" t="s">
        <v>68</v>
      </c>
    </row>
    <row r="66" customFormat="false" ht="15" hidden="false" customHeight="false" outlineLevel="0" collapsed="false">
      <c r="A66" s="8" t="n">
        <v>55</v>
      </c>
      <c r="B66" s="22" t="n">
        <f aca="false">Data!B59</f>
        <v>45992</v>
      </c>
      <c r="C66" s="23" t="n">
        <f aca="false">Data!D59</f>
        <v>364</v>
      </c>
      <c r="D66" s="27" t="n">
        <f aca="false">$B$3*(C66/F54)+(1-$B$3)*(D65+E65)</f>
        <v>320.366234132456</v>
      </c>
      <c r="E66" s="25" t="n">
        <f aca="false">$B$4*(D66-D65)+(1-$B$4)*E65</f>
        <v>1.6435894538085</v>
      </c>
      <c r="F66" s="25" t="n">
        <f aca="false">$B$5*(C66/D66)+(1-$B$5)*F54</f>
        <v>1.13422983948179</v>
      </c>
      <c r="G66" s="27" t="n">
        <f aca="false">(D65+E65)*F54</f>
        <v>360.812839976974</v>
      </c>
      <c r="H66" s="28" t="n">
        <f aca="false">ABS(C66-G66)/C66</f>
        <v>0.00875593412919331</v>
      </c>
      <c r="I66" s="26" t="s">
        <v>68</v>
      </c>
    </row>
    <row r="67" customFormat="false" ht="15" hidden="false" customHeight="false" outlineLevel="0" collapsed="false">
      <c r="A67" s="8" t="n">
        <v>56</v>
      </c>
      <c r="B67" s="22" t="n">
        <f aca="false">Data!B60</f>
        <v>46023</v>
      </c>
      <c r="C67" s="23" t="n">
        <f aca="false">Data!D60</f>
        <v>343</v>
      </c>
      <c r="D67" s="27" t="n">
        <f aca="false">$B$3*(C67/F55)+(1-$B$3)*(D66+E66)</f>
        <v>321.756589439547</v>
      </c>
      <c r="E67" s="25" t="n">
        <f aca="false">$B$4*(D67-D66)+(1-$B$4)*E66</f>
        <v>1.57015155126046</v>
      </c>
      <c r="F67" s="25" t="n">
        <f aca="false">$B$5*(C67/D67)+(1-$B$5)*F55</f>
        <v>1.08403915515608</v>
      </c>
      <c r="G67" s="27" t="n">
        <f aca="false">(D66+E66)*F55</f>
        <v>372.276471626005</v>
      </c>
      <c r="H67" s="28" t="n">
        <f aca="false">ABS(C67-G67)/C67</f>
        <v>0.0853541446822291</v>
      </c>
      <c r="I67" s="26" t="s">
        <v>68</v>
      </c>
    </row>
    <row r="68" customFormat="false" ht="15" hidden="false" customHeight="false" outlineLevel="0" collapsed="false">
      <c r="A68" s="8" t="n">
        <v>57</v>
      </c>
      <c r="B68" s="22" t="n">
        <f aca="false">Data!B61</f>
        <v>46054</v>
      </c>
      <c r="C68" s="23" t="n">
        <f aca="false">Data!D61</f>
        <v>336</v>
      </c>
      <c r="D68" s="27" t="n">
        <f aca="false">$B$3*(C68/F56)+(1-$B$3)*(D67+E67)</f>
        <v>323.568111238104</v>
      </c>
      <c r="E68" s="25" t="n">
        <f aca="false">$B$4*(D68-D67)+(1-$B$4)*E67</f>
        <v>1.64014892297636</v>
      </c>
      <c r="F68" s="25" t="n">
        <f aca="false">$B$5*(C68/D68)+(1-$B$5)*F56</f>
        <v>1.02413845492715</v>
      </c>
      <c r="G68" s="27" t="n">
        <f aca="false">(D67+E67)*F56</f>
        <v>312.659320742872</v>
      </c>
      <c r="H68" s="28" t="n">
        <f aca="false">ABS(C68-G68)/C68</f>
        <v>0.0694663073128797</v>
      </c>
      <c r="I68" s="26" t="s">
        <v>68</v>
      </c>
    </row>
    <row r="69" customFormat="false" ht="15" hidden="false" customHeight="false" outlineLevel="0" collapsed="false">
      <c r="A69" s="8" t="n">
        <v>58</v>
      </c>
      <c r="B69" s="22" t="n">
        <f aca="false">Data!B62</f>
        <v>46082</v>
      </c>
      <c r="C69" s="23" t="n">
        <f aca="false">Data!D62</f>
        <v>405</v>
      </c>
      <c r="D69" s="27" t="n">
        <f aca="false">$B$3*(C69/F57)+(1-$B$3)*(D68+E68)</f>
        <v>325.089100784397</v>
      </c>
      <c r="E69" s="25" t="n">
        <f aca="false">$B$4*(D69-D68)+(1-$B$4)*E68</f>
        <v>1.60559270373815</v>
      </c>
      <c r="F69" s="25" t="n">
        <f aca="false">$B$5*(C69/D69)+(1-$B$5)*F57</f>
        <v>1.25519431719388</v>
      </c>
      <c r="G69" s="27" t="n">
        <f aca="false">(D68+E68)*F57</f>
        <v>420.403999425465</v>
      </c>
      <c r="H69" s="28" t="n">
        <f aca="false">ABS(C69-G69)/C69</f>
        <v>0.03803456648263</v>
      </c>
      <c r="I69" s="26" t="s">
        <v>68</v>
      </c>
    </row>
    <row r="70" customFormat="false" ht="15" hidden="false" customHeight="false" outlineLevel="0" collapsed="false">
      <c r="A70" s="8" t="n">
        <v>59</v>
      </c>
      <c r="B70" s="22" t="n">
        <f aca="false">Data!B63</f>
        <v>46113</v>
      </c>
      <c r="C70" s="23" t="n">
        <f aca="false">Data!D63</f>
        <v>322</v>
      </c>
      <c r="D70" s="27" t="n">
        <f aca="false">$B$3*(C70/F58)+(1-$B$3)*(D69+E69)</f>
        <v>326.237401074326</v>
      </c>
      <c r="E70" s="25" t="n">
        <f aca="false">$B$4*(D70-D69)+(1-$B$4)*E69</f>
        <v>1.4729779037335</v>
      </c>
      <c r="F70" s="25" t="n">
        <f aca="false">$B$5*(C70/D70)+(1-$B$5)*F58</f>
        <v>1.01881871183582</v>
      </c>
      <c r="G70" s="27" t="n">
        <f aca="false">(D69+E69)*F58</f>
        <v>374.407922804096</v>
      </c>
      <c r="H70" s="28" t="n">
        <f aca="false">ABS(C70-G70)/C70</f>
        <v>0.162757524236324</v>
      </c>
      <c r="I70" s="26" t="s">
        <v>68</v>
      </c>
    </row>
    <row r="71" customFormat="false" ht="15" hidden="false" customHeight="false" outlineLevel="0" collapsed="false">
      <c r="A71" s="8" t="n">
        <v>60</v>
      </c>
      <c r="B71" s="22" t="n">
        <f aca="false">Data!B64</f>
        <v>46143</v>
      </c>
      <c r="C71" s="23" t="n">
        <f aca="false">Data!D64</f>
        <v>295</v>
      </c>
      <c r="D71" s="27" t="n">
        <f aca="false">$B$3*(C71/F59)+(1-$B$3)*(D70+E70)</f>
        <v>327.655965458187</v>
      </c>
      <c r="E71" s="25" t="n">
        <f aca="false">$B$4*(D71-D70)+(1-$B$4)*E70</f>
        <v>1.45719798297069</v>
      </c>
      <c r="F71" s="25" t="n">
        <f aca="false">$B$5*(C71/D71)+(1-$B$5)*F59</f>
        <v>0.903344528887238</v>
      </c>
      <c r="G71" s="27" t="n">
        <f aca="false">(D70+E70)*F59</f>
        <v>299.980928050099</v>
      </c>
      <c r="H71" s="28" t="n">
        <f aca="false">ABS(C71-G71)/C71</f>
        <v>0.0168845018647418</v>
      </c>
      <c r="I71" s="26" t="s">
        <v>68</v>
      </c>
    </row>
    <row r="72" customFormat="false" ht="15" hidden="false" customHeight="false" outlineLevel="0" collapsed="false">
      <c r="A72" s="8" t="n">
        <v>61</v>
      </c>
      <c r="B72" s="29" t="n">
        <f aca="false">EDATE(B71,1)</f>
        <v>46174</v>
      </c>
      <c r="D72" s="24"/>
      <c r="E72" s="24"/>
      <c r="F72" s="24"/>
      <c r="G72" s="30" t="n">
        <f aca="false">($D$71+(A72-60)*$E$71)*F60</f>
        <v>341.124996587028</v>
      </c>
      <c r="H72" s="24"/>
      <c r="I72" s="26" t="s">
        <v>77</v>
      </c>
    </row>
    <row r="73" customFormat="false" ht="15" hidden="false" customHeight="false" outlineLevel="0" collapsed="false">
      <c r="A73" s="8" t="n">
        <v>62</v>
      </c>
      <c r="B73" s="29" t="n">
        <f aca="false">EDATE(B72,1)</f>
        <v>46204</v>
      </c>
      <c r="D73" s="24"/>
      <c r="E73" s="24"/>
      <c r="F73" s="24"/>
      <c r="G73" s="30" t="n">
        <f aca="false">($D$71+(A73-60)*$E$71)*F61</f>
        <v>386.040200194303</v>
      </c>
      <c r="H73" s="24"/>
      <c r="I73" s="26" t="s">
        <v>77</v>
      </c>
    </row>
    <row r="74" customFormat="false" ht="15" hidden="false" customHeight="false" outlineLevel="0" collapsed="false">
      <c r="A74" s="8" t="n">
        <v>63</v>
      </c>
      <c r="B74" s="29" t="n">
        <f aca="false">EDATE(B73,1)</f>
        <v>46235</v>
      </c>
      <c r="D74" s="24"/>
      <c r="E74" s="24"/>
      <c r="F74" s="24"/>
      <c r="G74" s="30" t="n">
        <f aca="false">($D$71+(A74-60)*$E$71)*F62</f>
        <v>331.633780766682</v>
      </c>
      <c r="H74" s="24"/>
      <c r="I74" s="26" t="s">
        <v>77</v>
      </c>
    </row>
    <row r="75" customFormat="false" ht="15" hidden="false" customHeight="false" outlineLevel="0" collapsed="false">
      <c r="A75" s="8" t="n">
        <v>64</v>
      </c>
      <c r="B75" s="29" t="n">
        <f aca="false">EDATE(B74,1)</f>
        <v>46266</v>
      </c>
      <c r="D75" s="24"/>
      <c r="E75" s="24"/>
      <c r="F75" s="24"/>
      <c r="G75" s="30" t="n">
        <f aca="false">($D$71+(A75-60)*$E$71)*F63</f>
        <v>324.53001267204</v>
      </c>
      <c r="H75" s="24"/>
      <c r="I75" s="26" t="s">
        <v>77</v>
      </c>
    </row>
    <row r="76" customFormat="false" ht="15" hidden="false" customHeight="false" outlineLevel="0" collapsed="false">
      <c r="A76" s="8" t="n">
        <v>65</v>
      </c>
      <c r="B76" s="29" t="n">
        <f aca="false">EDATE(B75,1)</f>
        <v>46296</v>
      </c>
      <c r="D76" s="24"/>
      <c r="E76" s="24"/>
      <c r="F76" s="24"/>
      <c r="G76" s="30" t="n">
        <f aca="false">($D$71+(A76-60)*$E$71)*F64</f>
        <v>303.794817163454</v>
      </c>
      <c r="H76" s="24"/>
      <c r="I76" s="26" t="s">
        <v>77</v>
      </c>
    </row>
    <row r="77" customFormat="false" ht="15" hidden="false" customHeight="false" outlineLevel="0" collapsed="false">
      <c r="A77" s="8" t="n">
        <v>66</v>
      </c>
      <c r="B77" s="29" t="n">
        <f aca="false">EDATE(B76,1)</f>
        <v>46327</v>
      </c>
      <c r="D77" s="24"/>
      <c r="E77" s="24"/>
      <c r="F77" s="24"/>
      <c r="G77" s="30" t="n">
        <f aca="false">($D$71+(A77-60)*$E$71)*F65</f>
        <v>324.537174604298</v>
      </c>
      <c r="H77" s="24"/>
      <c r="I77" s="26" t="s">
        <v>77</v>
      </c>
    </row>
    <row r="78" customFormat="false" ht="15" hidden="false" customHeight="false" outlineLevel="0" collapsed="false">
      <c r="A78" s="8" t="n">
        <v>67</v>
      </c>
      <c r="B78" s="29" t="n">
        <f aca="false">EDATE(B77,1)</f>
        <v>46357</v>
      </c>
      <c r="D78" s="24"/>
      <c r="E78" s="24"/>
      <c r="F78" s="24"/>
      <c r="G78" s="30" t="n">
        <f aca="false">($D$71+(A78-60)*$E$71)*F66</f>
        <v>383.206755147117</v>
      </c>
      <c r="H78" s="24"/>
      <c r="I78" s="26" t="s">
        <v>77</v>
      </c>
    </row>
    <row r="79" customFormat="false" ht="15" hidden="false" customHeight="false" outlineLevel="0" collapsed="false">
      <c r="A79" s="8" t="n">
        <v>68</v>
      </c>
      <c r="B79" s="29" t="n">
        <f aca="false">EDATE(B78,1)</f>
        <v>46388</v>
      </c>
      <c r="D79" s="24"/>
      <c r="E79" s="24"/>
      <c r="F79" s="24"/>
      <c r="G79" s="30" t="n">
        <f aca="false">($D$71+(A79-60)*$E$71)*F67</f>
        <v>367.829173339981</v>
      </c>
      <c r="H79" s="24"/>
      <c r="I79" s="26" t="s">
        <v>77</v>
      </c>
    </row>
    <row r="80" customFormat="false" ht="15" hidden="false" customHeight="false" outlineLevel="0" collapsed="false">
      <c r="A80" s="8" t="n">
        <v>69</v>
      </c>
      <c r="B80" s="29" t="n">
        <f aca="false">EDATE(B79,1)</f>
        <v>46419</v>
      </c>
      <c r="D80" s="24"/>
      <c r="E80" s="24"/>
      <c r="F80" s="24"/>
      <c r="G80" s="30" t="n">
        <f aca="false">($D$71+(A80-60)*$E$71)*F68</f>
        <v>348.996426629236</v>
      </c>
      <c r="H80" s="24"/>
      <c r="I80" s="26" t="s">
        <v>77</v>
      </c>
    </row>
    <row r="81" customFormat="false" ht="15" hidden="false" customHeight="false" outlineLevel="0" collapsed="false">
      <c r="A81" s="8" t="n">
        <v>70</v>
      </c>
      <c r="B81" s="29" t="n">
        <f aca="false">EDATE(B80,1)</f>
        <v>46447</v>
      </c>
      <c r="D81" s="24"/>
      <c r="E81" s="24"/>
      <c r="F81" s="24"/>
      <c r="G81" s="30" t="n">
        <f aca="false">($D$71+(A81-60)*$E$71)*F69</f>
        <v>429.562572110302</v>
      </c>
      <c r="H81" s="24"/>
      <c r="I81" s="26" t="s">
        <v>77</v>
      </c>
    </row>
    <row r="82" customFormat="false" ht="15" hidden="false" customHeight="false" outlineLevel="0" collapsed="false">
      <c r="A82" s="8" t="n">
        <v>71</v>
      </c>
      <c r="B82" s="29" t="n">
        <f aca="false">EDATE(B81,1)</f>
        <v>46478</v>
      </c>
      <c r="D82" s="24"/>
      <c r="E82" s="24"/>
      <c r="F82" s="24"/>
      <c r="G82" s="30" t="n">
        <f aca="false">($D$71+(A82-60)*$E$71)*F70</f>
        <v>350.152854944333</v>
      </c>
      <c r="H82" s="24"/>
      <c r="I82" s="26" t="s">
        <v>77</v>
      </c>
    </row>
    <row r="83" customFormat="false" ht="15" hidden="false" customHeight="false" outlineLevel="0" collapsed="false">
      <c r="A83" s="8" t="n">
        <v>72</v>
      </c>
      <c r="B83" s="29" t="n">
        <f aca="false">EDATE(B82,1)</f>
        <v>46508</v>
      </c>
      <c r="D83" s="24"/>
      <c r="E83" s="24"/>
      <c r="F83" s="24"/>
      <c r="G83" s="30" t="n">
        <f aca="false">($D$71+(A83-60)*$E$71)*F71</f>
        <v>311.782445658985</v>
      </c>
      <c r="H83" s="24"/>
      <c r="I83" s="2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5" t="s">
        <v>78</v>
      </c>
    </row>
    <row r="3" customFormat="false" ht="15" hidden="false" customHeight="false" outlineLevel="0" collapsed="false">
      <c r="A3" s="12" t="s">
        <v>49</v>
      </c>
      <c r="B3" s="18" t="n">
        <v>0.01</v>
      </c>
      <c r="C3" s="6" t="s">
        <v>50</v>
      </c>
    </row>
    <row r="4" customFormat="false" ht="15" hidden="false" customHeight="false" outlineLevel="0" collapsed="false">
      <c r="A4" s="12" t="s">
        <v>51</v>
      </c>
      <c r="B4" s="18" t="n">
        <v>0.01</v>
      </c>
      <c r="C4" s="6" t="s">
        <v>52</v>
      </c>
    </row>
    <row r="5" customFormat="false" ht="15" hidden="false" customHeight="false" outlineLevel="0" collapsed="false">
      <c r="A5" s="12" t="s">
        <v>53</v>
      </c>
      <c r="B5" s="18" t="n">
        <v>0.99</v>
      </c>
      <c r="C5" s="6" t="s">
        <v>54</v>
      </c>
    </row>
    <row r="6" customFormat="false" ht="15" hidden="false" customHeight="false" outlineLevel="0" collapsed="false">
      <c r="A6" s="12" t="s">
        <v>55</v>
      </c>
      <c r="B6" s="15" t="n">
        <v>12</v>
      </c>
      <c r="C6" s="6" t="s">
        <v>56</v>
      </c>
    </row>
    <row r="7" customFormat="false" ht="15" hidden="false" customHeight="false" outlineLevel="0" collapsed="false">
      <c r="A7" s="11" t="s">
        <v>57</v>
      </c>
      <c r="B7" s="19" t="n">
        <f aca="false">AVERAGE(H60:H71)</f>
        <v>0.0852363228777699</v>
      </c>
    </row>
    <row r="8" customFormat="false" ht="15" hidden="false" customHeight="false" outlineLevel="0" collapsed="false">
      <c r="A8" s="12" t="s">
        <v>58</v>
      </c>
      <c r="B8" s="20" t="n">
        <f aca="false">AVERAGE(H24:H59)</f>
        <v>0.0520465810983159</v>
      </c>
    </row>
    <row r="9" customFormat="false" ht="15" hidden="false" customHeight="false" outlineLevel="0" collapsed="false">
      <c r="A9" s="12" t="s">
        <v>59</v>
      </c>
      <c r="B9" s="21" t="n">
        <f aca="false">SUMXMY2(C24:C59,G24:G59)</f>
        <v>11571.0170228395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7" t="s">
        <v>66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Data!E5</f>
        <v>221</v>
      </c>
      <c r="D12" s="24"/>
      <c r="E12" s="24"/>
      <c r="F12" s="25" t="n">
        <f aca="false">C12/$D$23</f>
        <v>0.950537634408602</v>
      </c>
      <c r="G12" s="24"/>
      <c r="H12" s="24"/>
      <c r="I12" s="26" t="s">
        <v>67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Data!E6</f>
        <v>238</v>
      </c>
      <c r="D13" s="24"/>
      <c r="E13" s="24"/>
      <c r="F13" s="25" t="n">
        <f aca="false">C13/$D$23</f>
        <v>1.02365591397849</v>
      </c>
      <c r="G13" s="24"/>
      <c r="H13" s="24"/>
      <c r="I13" s="26" t="s">
        <v>67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Data!E7</f>
        <v>222</v>
      </c>
      <c r="D14" s="24"/>
      <c r="E14" s="24"/>
      <c r="F14" s="25" t="n">
        <f aca="false">C14/$D$23</f>
        <v>0.954838709677419</v>
      </c>
      <c r="G14" s="24"/>
      <c r="H14" s="24"/>
      <c r="I14" s="26" t="s">
        <v>67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Data!E8</f>
        <v>204</v>
      </c>
      <c r="D15" s="24"/>
      <c r="E15" s="24"/>
      <c r="F15" s="25" t="n">
        <f aca="false">C15/$D$23</f>
        <v>0.87741935483871</v>
      </c>
      <c r="G15" s="24"/>
      <c r="H15" s="24"/>
      <c r="I15" s="26" t="s">
        <v>67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Data!E9</f>
        <v>221</v>
      </c>
      <c r="D16" s="24"/>
      <c r="E16" s="24"/>
      <c r="F16" s="25" t="n">
        <f aca="false">C16/$D$23</f>
        <v>0.950537634408602</v>
      </c>
      <c r="G16" s="24"/>
      <c r="H16" s="24"/>
      <c r="I16" s="26" t="s">
        <v>67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Data!E10</f>
        <v>225</v>
      </c>
      <c r="D17" s="24"/>
      <c r="E17" s="24"/>
      <c r="F17" s="25" t="n">
        <f aca="false">C17/$D$23</f>
        <v>0.967741935483871</v>
      </c>
      <c r="G17" s="24"/>
      <c r="H17" s="24"/>
      <c r="I17" s="26" t="s">
        <v>67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Data!E11</f>
        <v>278</v>
      </c>
      <c r="D18" s="24"/>
      <c r="E18" s="24"/>
      <c r="F18" s="25" t="n">
        <f aca="false">C18/$D$23</f>
        <v>1.19569892473118</v>
      </c>
      <c r="G18" s="24"/>
      <c r="H18" s="24"/>
      <c r="I18" s="26" t="s">
        <v>67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Data!E12</f>
        <v>245</v>
      </c>
      <c r="D19" s="24"/>
      <c r="E19" s="24"/>
      <c r="F19" s="25" t="n">
        <f aca="false">C19/$D$23</f>
        <v>1.05376344086022</v>
      </c>
      <c r="G19" s="24"/>
      <c r="H19" s="24"/>
      <c r="I19" s="26" t="s">
        <v>67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Data!E13</f>
        <v>179</v>
      </c>
      <c r="D20" s="24"/>
      <c r="E20" s="24"/>
      <c r="F20" s="25" t="n">
        <f aca="false">C20/$D$23</f>
        <v>0.76989247311828</v>
      </c>
      <c r="G20" s="24"/>
      <c r="H20" s="24"/>
      <c r="I20" s="26" t="s">
        <v>67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Data!E14</f>
        <v>223</v>
      </c>
      <c r="D21" s="24"/>
      <c r="E21" s="24"/>
      <c r="F21" s="25" t="n">
        <f aca="false">C21/$D$23</f>
        <v>0.959139784946237</v>
      </c>
      <c r="G21" s="24"/>
      <c r="H21" s="24"/>
      <c r="I21" s="26" t="s">
        <v>67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Data!E15</f>
        <v>293</v>
      </c>
      <c r="D22" s="24"/>
      <c r="E22" s="24"/>
      <c r="F22" s="25" t="n">
        <f aca="false">C22/$D$23</f>
        <v>1.26021505376344</v>
      </c>
      <c r="G22" s="24"/>
      <c r="H22" s="24"/>
      <c r="I22" s="26" t="s">
        <v>67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Data!E16</f>
        <v>241</v>
      </c>
      <c r="D23" s="27" t="n">
        <f aca="false">AVERAGE(C12:C23)</f>
        <v>232.5</v>
      </c>
      <c r="E23" s="25" t="n">
        <f aca="false">(AVERAGE(C24:C35)-AVERAGE(C12:C23))/$B$6</f>
        <v>0.805555555555555</v>
      </c>
      <c r="F23" s="25" t="n">
        <f aca="false">C23/$D$23</f>
        <v>1.03655913978495</v>
      </c>
      <c r="G23" s="24"/>
      <c r="H23" s="24"/>
      <c r="I23" s="26" t="s">
        <v>67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Data!E17</f>
        <v>228</v>
      </c>
      <c r="D24" s="27" t="n">
        <f aca="false">$B$3*(C24/F12)+(1-$B$3)*(D23+E23)</f>
        <v>233.371142533937</v>
      </c>
      <c r="E24" s="25" t="n">
        <f aca="false">$B$4*(D24-D23)+(1-$B$4)*E23</f>
        <v>0.806211425339366</v>
      </c>
      <c r="F24" s="25" t="n">
        <f aca="false">$B$5*(C24/D24)+(1-$B$5)*F12</f>
        <v>0.976720077995452</v>
      </c>
      <c r="G24" s="27" t="n">
        <f aca="false">(D23+E23)*F12</f>
        <v>221.765710872163</v>
      </c>
      <c r="H24" s="28" t="n">
        <f aca="false">ABS(C24-G24)/C24</f>
        <v>0.0273433733677084</v>
      </c>
      <c r="I24" s="26" t="s">
        <v>68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Data!E18</f>
        <v>245</v>
      </c>
      <c r="D25" s="27" t="n">
        <f aca="false">$B$3*(C25/F13)+(1-$B$3)*(D24+E24)</f>
        <v>234.228962772624</v>
      </c>
      <c r="E25" s="25" t="n">
        <f aca="false">$B$4*(D25-D24)+(1-$B$4)*E24</f>
        <v>0.80672751347285</v>
      </c>
      <c r="F25" s="25" t="n">
        <f aca="false">$B$5*(C25/D25)+(1-$B$5)*F13</f>
        <v>1.04576178680112</v>
      </c>
      <c r="G25" s="27" t="n">
        <f aca="false">(D24+E24)*F13</f>
        <v>239.717033300248</v>
      </c>
      <c r="H25" s="28" t="n">
        <f aca="false">ABS(C25-G25)/C25</f>
        <v>0.0215631293867423</v>
      </c>
      <c r="I25" s="26" t="s">
        <v>68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Data!E19</f>
        <v>223</v>
      </c>
      <c r="D26" s="27" t="n">
        <f aca="false">$B$3*(C26/F14)+(1-$B$3)*(D25+E25)</f>
        <v>235.020806356209</v>
      </c>
      <c r="E26" s="25" t="n">
        <f aca="false">$B$4*(D26-D25)+(1-$B$4)*E25</f>
        <v>0.80657867417397</v>
      </c>
      <c r="F26" s="25" t="n">
        <f aca="false">$B$5*(C26/D26)+(1-$B$5)*F14</f>
        <v>0.948912026524468</v>
      </c>
      <c r="G26" s="27" t="n">
        <f aca="false">(D25+E25)*F14</f>
        <v>224.421175240919</v>
      </c>
      <c r="H26" s="28" t="n">
        <f aca="false">ABS(C26-G26)/C26</f>
        <v>0.00637298314313318</v>
      </c>
      <c r="I26" s="26" t="s">
        <v>68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Data!E20</f>
        <v>206</v>
      </c>
      <c r="D27" s="27" t="n">
        <f aca="false">$B$3*(C27/F15)+(1-$B$3)*(D26+E26)</f>
        <v>235.816905297727</v>
      </c>
      <c r="E27" s="25" t="n">
        <f aca="false">$B$4*(D27-D26)+(1-$B$4)*E26</f>
        <v>0.806473876847402</v>
      </c>
      <c r="F27" s="25" t="n">
        <f aca="false">$B$5*(C27/D27)+(1-$B$5)*F15</f>
        <v>0.873597687616886</v>
      </c>
      <c r="G27" s="27" t="n">
        <f aca="false">(D26+E26)*F15</f>
        <v>206.919512026659</v>
      </c>
      <c r="H27" s="28" t="n">
        <f aca="false">ABS(C27-G27)/C27</f>
        <v>0.00446365061484893</v>
      </c>
      <c r="I27" s="26" t="s">
        <v>68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Data!E21</f>
        <v>207</v>
      </c>
      <c r="D28" s="27" t="n">
        <f aca="false">$B$3*(C28/F16)+(1-$B$3)*(D27+E27)</f>
        <v>236.434860314955</v>
      </c>
      <c r="E28" s="25" t="n">
        <f aca="false">$B$4*(D28-D27)+(1-$B$4)*E27</f>
        <v>0.804588688251212</v>
      </c>
      <c r="F28" s="25" t="n">
        <f aca="false">$B$5*(C28/D28)+(1-$B$5)*F16</f>
        <v>0.876255735098344</v>
      </c>
      <c r="G28" s="27" t="n">
        <f aca="false">(D27+E27)*F16</f>
        <v>224.919427086369</v>
      </c>
      <c r="H28" s="28" t="n">
        <f aca="false">ABS(C28-G28)/C28</f>
        <v>0.0865672806104792</v>
      </c>
      <c r="I28" s="26" t="s">
        <v>68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Data!E22</f>
        <v>228</v>
      </c>
      <c r="D29" s="27" t="n">
        <f aca="false">$B$3*(C29/F17)+(1-$B$3)*(D28+E28)</f>
        <v>237.223054513174</v>
      </c>
      <c r="E29" s="25" t="n">
        <f aca="false">$B$4*(D29-D28)+(1-$B$4)*E28</f>
        <v>0.804424743350891</v>
      </c>
      <c r="F29" s="25" t="n">
        <f aca="false">$B$5*(C29/D29)+(1-$B$5)*F17</f>
        <v>0.961186961558566</v>
      </c>
      <c r="G29" s="27" t="n">
        <f aca="false">(D28+E28)*F17</f>
        <v>229.58656355149</v>
      </c>
      <c r="H29" s="28" t="n">
        <f aca="false">ABS(C29-G29)/C29</f>
        <v>0.00695861206793748</v>
      </c>
      <c r="I29" s="26" t="s">
        <v>68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Data!E23</f>
        <v>282</v>
      </c>
      <c r="D30" s="27" t="n">
        <f aca="false">$B$3*(C30/F18)+(1-$B$3)*(D29+E29)</f>
        <v>238.00565770137</v>
      </c>
      <c r="E30" s="25" t="n">
        <f aca="false">$B$4*(D30-D29)+(1-$B$4)*E29</f>
        <v>0.804206527799339</v>
      </c>
      <c r="F30" s="25" t="n">
        <f aca="false">$B$5*(C30/D30)+(1-$B$5)*F18</f>
        <v>1.1849543150096</v>
      </c>
      <c r="G30" s="27" t="n">
        <f aca="false">(D29+E29)*F18</f>
        <v>284.609201003501</v>
      </c>
      <c r="H30" s="28" t="n">
        <f aca="false">ABS(C30-G30)/C30</f>
        <v>0.00925248582801682</v>
      </c>
      <c r="I30" s="26" t="s">
        <v>68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Data!E24</f>
        <v>261</v>
      </c>
      <c r="D31" s="27" t="n">
        <f aca="false">$B$3*(C31/F19)+(1-$B$3)*(D30+E30)</f>
        <v>238.898602321571</v>
      </c>
      <c r="E31" s="25" t="n">
        <f aca="false">$B$4*(D31-D30)+(1-$B$4)*E30</f>
        <v>0.805093908723361</v>
      </c>
      <c r="F31" s="25" t="n">
        <f aca="false">$B$5*(C31/D31)+(1-$B$5)*F19</f>
        <v>1.09212621420361</v>
      </c>
      <c r="G31" s="27" t="n">
        <f aca="false">(D30+E30)*F19</f>
        <v>251.64910424149</v>
      </c>
      <c r="H31" s="28" t="n">
        <f aca="false">ABS(C31-G31)/C31</f>
        <v>0.0358271868142147</v>
      </c>
      <c r="I31" s="26" t="s">
        <v>68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Data!E25</f>
        <v>228</v>
      </c>
      <c r="D32" s="27" t="n">
        <f aca="false">$B$3*(C32/F20)+(1-$B$3)*(D31+E31)</f>
        <v>240.268111781958</v>
      </c>
      <c r="E32" s="25" t="n">
        <f aca="false">$B$4*(D32-D31)+(1-$B$4)*E31</f>
        <v>0.810738064239997</v>
      </c>
      <c r="F32" s="25" t="n">
        <f aca="false">$B$5*(C32/D32)+(1-$B$5)*F20</f>
        <v>0.947149434105642</v>
      </c>
      <c r="G32" s="27" t="n">
        <f aca="false">(D31+E31)*F20</f>
        <v>184.546071506334</v>
      </c>
      <c r="H32" s="28" t="n">
        <f aca="false">ABS(C32-G32)/C32</f>
        <v>0.190587405673972</v>
      </c>
      <c r="I32" s="26" t="s">
        <v>68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Data!E26</f>
        <v>256</v>
      </c>
      <c r="D33" s="27" t="n">
        <f aca="false">$B$3*(C33/F21)+(1-$B$3)*(D32+E32)</f>
        <v>241.3371196437</v>
      </c>
      <c r="E33" s="25" t="n">
        <f aca="false">$B$4*(D33-D32)+(1-$B$4)*E32</f>
        <v>0.813320762215018</v>
      </c>
      <c r="F33" s="25" t="n">
        <f aca="false">$B$5*(C33/D33)+(1-$B$5)*F21</f>
        <v>1.05974066777598</v>
      </c>
      <c r="G33" s="27" t="n">
        <f aca="false">(D32+E32)*F21</f>
        <v>231.228316196569</v>
      </c>
      <c r="H33" s="28" t="n">
        <f aca="false">ABS(C33-G33)/C33</f>
        <v>0.0967643898571541</v>
      </c>
      <c r="I33" s="26" t="s">
        <v>68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Data!E27</f>
        <v>311</v>
      </c>
      <c r="D34" s="27" t="n">
        <f aca="false">$B$3*(C34/F22)+(1-$B$3)*(D33+E33)</f>
        <v>242.196768766361</v>
      </c>
      <c r="E34" s="25" t="n">
        <f aca="false">$B$4*(D34-D33)+(1-$B$4)*E33</f>
        <v>0.813784045819478</v>
      </c>
      <c r="F34" s="25" t="n">
        <f aca="false">$B$5*(C34/D34)+(1-$B$5)*F22</f>
        <v>1.28384124083702</v>
      </c>
      <c r="G34" s="27" t="n">
        <f aca="false">(D33+E33)*F22</f>
        <v>305.161630274981</v>
      </c>
      <c r="H34" s="28" t="n">
        <f aca="false">ABS(C34-G34)/C34</f>
        <v>0.0187728930064905</v>
      </c>
      <c r="I34" s="26" t="s">
        <v>68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Data!E28</f>
        <v>231</v>
      </c>
      <c r="D35" s="27" t="n">
        <f aca="false">$B$3*(C35/F23)+(1-$B$3)*(D34+E34)</f>
        <v>242.808974255013</v>
      </c>
      <c r="E35" s="25" t="n">
        <f aca="false">$B$4*(D35-D34)+(1-$B$4)*E34</f>
        <v>0.811768260247804</v>
      </c>
      <c r="F35" s="25" t="n">
        <f aca="false">$B$5*(C35/D35)+(1-$B$5)*F23</f>
        <v>0.952217105336602</v>
      </c>
      <c r="G35" s="27" t="n">
        <f aca="false">(D34+E34)*F23</f>
        <v>251.894809581658</v>
      </c>
      <c r="H35" s="28" t="n">
        <f aca="false">ABS(C35-G35)/C35</f>
        <v>0.0904537211327202</v>
      </c>
      <c r="I35" s="26" t="s">
        <v>68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Data!E29</f>
        <v>233</v>
      </c>
      <c r="D36" s="27" t="n">
        <f aca="false">$B$3*(C36/F24)+(1-$B$3)*(D35+E35)</f>
        <v>243.570070160486</v>
      </c>
      <c r="E36" s="25" t="n">
        <f aca="false">$B$4*(D36-D35)+(1-$B$4)*E35</f>
        <v>0.811261536700053</v>
      </c>
      <c r="F36" s="25" t="n">
        <f aca="false">$B$5*(C36/D36)+(1-$B$5)*F24</f>
        <v>0.956804740523708</v>
      </c>
      <c r="G36" s="27" t="n">
        <f aca="false">(D35+E35)*F24</f>
        <v>237.949270630816</v>
      </c>
      <c r="H36" s="28" t="n">
        <f aca="false">ABS(C36-G36)/C36</f>
        <v>0.021241504853287</v>
      </c>
      <c r="I36" s="26" t="s">
        <v>68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Data!E30</f>
        <v>266</v>
      </c>
      <c r="D37" s="27" t="n">
        <f aca="false">$B$3*(C37/F25)+(1-$B$3)*(D36+E36)</f>
        <v>244.481118685344</v>
      </c>
      <c r="E37" s="25" t="n">
        <f aca="false">$B$4*(D37-D36)+(1-$B$4)*E36</f>
        <v>0.812259406581628</v>
      </c>
      <c r="F37" s="25" t="n">
        <f aca="false">$B$5*(C37/D37)+(1-$B$5)*F25</f>
        <v>1.08759601373296</v>
      </c>
      <c r="G37" s="27" t="n">
        <f aca="false">(D36+E36)*F25</f>
        <v>255.564658096486</v>
      </c>
      <c r="H37" s="28" t="n">
        <f aca="false">ABS(C37-G37)/C37</f>
        <v>0.0392306086598262</v>
      </c>
      <c r="I37" s="26" t="s">
        <v>68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Data!E31</f>
        <v>226</v>
      </c>
      <c r="D38" s="27" t="n">
        <f aca="false">$B$3*(C38/F26)+(1-$B$3)*(D37+E37)</f>
        <v>245.2221192575</v>
      </c>
      <c r="E38" s="25" t="n">
        <f aca="false">$B$4*(D38-D37)+(1-$B$4)*E37</f>
        <v>0.811546818237373</v>
      </c>
      <c r="F38" s="25" t="n">
        <f aca="false">$B$5*(C38/D38)+(1-$B$5)*F26</f>
        <v>0.921886422260086</v>
      </c>
      <c r="G38" s="27" t="n">
        <f aca="false">(D37+E37)*F26</f>
        <v>232.761836498241</v>
      </c>
      <c r="H38" s="28" t="n">
        <f aca="false">ABS(C38-G38)/C38</f>
        <v>0.0299196305231916</v>
      </c>
      <c r="I38" s="26" t="s">
        <v>68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Data!E32</f>
        <v>242</v>
      </c>
      <c r="D39" s="27" t="n">
        <f aca="false">$B$3*(C39/F27)+(1-$B$3)*(D38+E38)</f>
        <v>246.343483267609</v>
      </c>
      <c r="E39" s="25" t="n">
        <f aca="false">$B$4*(D39-D38)+(1-$B$4)*E38</f>
        <v>0.814644990156093</v>
      </c>
      <c r="F39" s="25" t="n">
        <f aca="false">$B$5*(C39/D39)+(1-$B$5)*F27</f>
        <v>0.981280477839234</v>
      </c>
      <c r="G39" s="27" t="n">
        <f aca="false">(D38+E38)*F27</f>
        <v>214.934441759669</v>
      </c>
      <c r="H39" s="28" t="n">
        <f aca="false">ABS(C39-G39)/C39</f>
        <v>0.111841149753434</v>
      </c>
      <c r="I39" s="26" t="s">
        <v>68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Data!E33</f>
        <v>241</v>
      </c>
      <c r="D40" s="27" t="n">
        <f aca="false">$B$3*(C40/F28)+(1-$B$3)*(D39+E39)</f>
        <v>247.43688560747</v>
      </c>
      <c r="E40" s="25" t="n">
        <f aca="false">$B$4*(D40-D39)+(1-$B$4)*E39</f>
        <v>0.81743256365314</v>
      </c>
      <c r="F40" s="25" t="n">
        <f aca="false">$B$5*(C40/D40)+(1-$B$5)*F28</f>
        <v>0.973008447426142</v>
      </c>
      <c r="G40" s="27" t="n">
        <f aca="false">(D39+E39)*F28</f>
        <v>216.573727362039</v>
      </c>
      <c r="H40" s="28" t="n">
        <f aca="false">ABS(C40-G40)/C40</f>
        <v>0.101353828373283</v>
      </c>
      <c r="I40" s="26" t="s">
        <v>68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Data!E34</f>
        <v>236</v>
      </c>
      <c r="D41" s="27" t="n">
        <f aca="false">$B$3*(C41/F29)+(1-$B$3)*(D40+E40)</f>
        <v>248.227072547936</v>
      </c>
      <c r="E41" s="25" t="n">
        <f aca="false">$B$4*(D41-D40)+(1-$B$4)*E40</f>
        <v>0.81716010742127</v>
      </c>
      <c r="F41" s="25" t="n">
        <f aca="false">$B$5*(C41/D41)+(1-$B$5)*F29</f>
        <v>0.950846834850415</v>
      </c>
      <c r="G41" s="27" t="n">
        <f aca="false">(D40+E40)*F29</f>
        <v>238.618813776695</v>
      </c>
      <c r="H41" s="28" t="n">
        <f aca="false">ABS(C41-G41)/C41</f>
        <v>0.011096668545319</v>
      </c>
      <c r="I41" s="26" t="s">
        <v>68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Data!E35</f>
        <v>288</v>
      </c>
      <c r="D42" s="27" t="n">
        <f aca="false">$B$3*(C42/F30)+(1-$B$3)*(D41+E41)</f>
        <v>248.984263777037</v>
      </c>
      <c r="E42" s="25" t="n">
        <f aca="false">$B$4*(D42-D41)+(1-$B$4)*E41</f>
        <v>0.816560418638065</v>
      </c>
      <c r="F42" s="25" t="n">
        <f aca="false">$B$5*(C42/D42)+(1-$B$5)*F30</f>
        <v>1.1569821538412</v>
      </c>
      <c r="G42" s="27" t="n">
        <f aca="false">(D41+E41)*F30</f>
        <v>295.106038113219</v>
      </c>
      <c r="H42" s="28" t="n">
        <f aca="false">ABS(C42-G42)/C42</f>
        <v>0.0246737434486776</v>
      </c>
      <c r="I42" s="26" t="s">
        <v>68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Data!E36</f>
        <v>277</v>
      </c>
      <c r="D43" s="27" t="n">
        <f aca="false">$B$3*(C43/F31)+(1-$B$3)*(D42+E42)</f>
        <v>249.839152838572</v>
      </c>
      <c r="E43" s="25" t="n">
        <f aca="false">$B$4*(D43-D42)+(1-$B$4)*E42</f>
        <v>0.816943705067032</v>
      </c>
      <c r="F43" s="25" t="n">
        <f aca="false">$B$5*(C43/D43)+(1-$B$5)*F31</f>
        <v>1.1085474623765</v>
      </c>
      <c r="G43" s="27" t="n">
        <f aca="false">(D42+E42)*F31</f>
        <v>272.814028433763</v>
      </c>
      <c r="H43" s="28" t="n">
        <f aca="false">ABS(C43-G43)/C43</f>
        <v>0.0151118107084361</v>
      </c>
      <c r="I43" s="26" t="s">
        <v>68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Data!E37</f>
        <v>248</v>
      </c>
      <c r="D44" s="27" t="n">
        <f aca="false">$B$3*(C44/F32)+(1-$B$3)*(D43+E43)</f>
        <v>250.767918602779</v>
      </c>
      <c r="E44" s="25" t="n">
        <f aca="false">$B$4*(D44-D43)+(1-$B$4)*E43</f>
        <v>0.818061925658439</v>
      </c>
      <c r="F44" s="25" t="n">
        <f aca="false">$B$5*(C44/D44)+(1-$B$5)*F32</f>
        <v>0.988544102065284</v>
      </c>
      <c r="G44" s="27" t="n">
        <f aca="false">(D43+E43)*F32</f>
        <v>237.408779996436</v>
      </c>
      <c r="H44" s="28" t="n">
        <f aca="false">ABS(C44-G44)/C44</f>
        <v>0.0427065322724338</v>
      </c>
      <c r="I44" s="26" t="s">
        <v>68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Data!E38</f>
        <v>280</v>
      </c>
      <c r="D45" s="27" t="n">
        <f aca="false">$B$3*(C45/F33)+(1-$B$3)*(D44+E44)</f>
        <v>251.712276568579</v>
      </c>
      <c r="E45" s="25" t="n">
        <f aca="false">$B$4*(D45-D44)+(1-$B$4)*E44</f>
        <v>0.819324886059855</v>
      </c>
      <c r="F45" s="25" t="n">
        <f aca="false">$B$5*(C45/D45)+(1-$B$5)*F33</f>
        <v>1.11185477790684</v>
      </c>
      <c r="G45" s="27" t="n">
        <f aca="false">(D44+E44)*F33</f>
        <v>266.615895008281</v>
      </c>
      <c r="H45" s="28" t="n">
        <f aca="false">ABS(C45-G45)/C45</f>
        <v>0.0478003749704259</v>
      </c>
      <c r="I45" s="26" t="s">
        <v>68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Data!E39</f>
        <v>293</v>
      </c>
      <c r="D46" s="27" t="n">
        <f aca="false">$B$3*(C46/F34)+(1-$B$3)*(D45+E45)</f>
        <v>252.288499086766</v>
      </c>
      <c r="E46" s="25" t="n">
        <f aca="false">$B$4*(D46-D45)+(1-$B$4)*E45</f>
        <v>0.816893862381122</v>
      </c>
      <c r="F46" s="25" t="n">
        <f aca="false">$B$5*(C46/D46)+(1-$B$5)*F34</f>
        <v>1.16259355800556</v>
      </c>
      <c r="G46" s="27" t="n">
        <f aca="false">(D45+E45)*F34</f>
        <v>324.210484562084</v>
      </c>
      <c r="H46" s="28" t="n">
        <f aca="false">ABS(C46-G46)/C46</f>
        <v>0.106520425126567</v>
      </c>
      <c r="I46" s="26" t="s">
        <v>68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Data!E40</f>
        <v>241</v>
      </c>
      <c r="D47" s="27" t="n">
        <f aca="false">$B$3*(C47/F35)+(1-$B$3)*(D46+E46)</f>
        <v>253.105274440258</v>
      </c>
      <c r="E47" s="25" t="n">
        <f aca="false">$B$4*(D47-D46)+(1-$B$4)*E46</f>
        <v>0.816892677292233</v>
      </c>
      <c r="F47" s="25" t="n">
        <f aca="false">$B$5*(C47/D47)+(1-$B$5)*F35</f>
        <v>0.952173407886108</v>
      </c>
      <c r="G47" s="27" t="n">
        <f aca="false">(D46+E46)*F35</f>
        <v>241.01128461912</v>
      </c>
      <c r="H47" s="28" t="n">
        <f aca="false">ABS(C47-G47)/C47</f>
        <v>4.6824145726751E-005</v>
      </c>
      <c r="I47" s="26" t="s">
        <v>68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Data!E41</f>
        <v>233</v>
      </c>
      <c r="D48" s="27" t="n">
        <f aca="false">$B$3*(C48/F36)+(1-$B$3)*(D47+E47)</f>
        <v>253.818134049981</v>
      </c>
      <c r="E48" s="25" t="n">
        <f aca="false">$B$4*(D48-D47)+(1-$B$4)*E47</f>
        <v>0.815852346616543</v>
      </c>
      <c r="F48" s="25" t="n">
        <f aca="false">$B$5*(C48/D48)+(1-$B$5)*F36</f>
        <v>0.918368361706566</v>
      </c>
      <c r="G48" s="27" t="n">
        <f aca="false">(D47+E47)*F36</f>
        <v>242.953933222125</v>
      </c>
      <c r="H48" s="28" t="n">
        <f aca="false">ABS(C48-G48)/C48</f>
        <v>0.0427207434425979</v>
      </c>
      <c r="I48" s="26" t="s">
        <v>68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Data!E42</f>
        <v>258</v>
      </c>
      <c r="D49" s="27" t="n">
        <f aca="false">$B$3*(C49/F37)+(1-$B$3)*(D48+E48)</f>
        <v>254.459850887395</v>
      </c>
      <c r="E49" s="25" t="n">
        <f aca="false">$B$4*(D49-D48)+(1-$B$4)*E48</f>
        <v>0.814110991524511</v>
      </c>
      <c r="F49" s="25" t="n">
        <f aca="false">$B$5*(C49/D49)+(1-$B$5)*F37</f>
        <v>1.01464924346378</v>
      </c>
      <c r="G49" s="27" t="n">
        <f aca="false">(D48+E48)*F37</f>
        <v>276.938908565874</v>
      </c>
      <c r="H49" s="28" t="n">
        <f aca="false">ABS(C49-G49)/C49</f>
        <v>0.0734066223483468</v>
      </c>
      <c r="I49" s="26" t="s">
        <v>68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Data!E43</f>
        <v>225</v>
      </c>
      <c r="D50" s="27" t="n">
        <f aca="false">$B$3*(C50/F38)+(1-$B$3)*(D49+E49)</f>
        <v>255.161869986001</v>
      </c>
      <c r="E50" s="25" t="n">
        <f aca="false">$B$4*(D50-D49)+(1-$B$4)*E49</f>
        <v>0.812990072595324</v>
      </c>
      <c r="F50" s="25" t="n">
        <f aca="false">$B$5*(C50/D50)+(1-$B$5)*F38</f>
        <v>0.8821941250334</v>
      </c>
      <c r="G50" s="27" t="n">
        <f aca="false">(D49+E49)*F38</f>
        <v>235.333599412714</v>
      </c>
      <c r="H50" s="28" t="n">
        <f aca="false">ABS(C50-G50)/C50</f>
        <v>0.0459271085009529</v>
      </c>
      <c r="I50" s="26" t="s">
        <v>68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Data!E44</f>
        <v>231</v>
      </c>
      <c r="D51" s="27" t="n">
        <f aca="false">$B$3*(C51/F39)+(1-$B$3)*(D50+E50)</f>
        <v>255.769178467563</v>
      </c>
      <c r="E51" s="25" t="n">
        <f aca="false">$B$4*(D51-D50)+(1-$B$4)*E50</f>
        <v>0.810933256684997</v>
      </c>
      <c r="F51" s="25" t="n">
        <f aca="false">$B$5*(C51/D51)+(1-$B$5)*F39</f>
        <v>0.903939303405758</v>
      </c>
      <c r="G51" s="27" t="n">
        <f aca="false">(D50+E50)*F39</f>
        <v>251.18313299313</v>
      </c>
      <c r="H51" s="28" t="n">
        <f aca="false">ABS(C51-G51)/C51</f>
        <v>0.0873728701001295</v>
      </c>
      <c r="I51" s="26" t="s">
        <v>68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Data!E45</f>
        <v>227</v>
      </c>
      <c r="D52" s="27" t="n">
        <f aca="false">$B$3*(C52/F40)+(1-$B$3)*(D51+E51)</f>
        <v>256.347281102796</v>
      </c>
      <c r="E52" s="25" t="n">
        <f aca="false">$B$4*(D52-D51)+(1-$B$4)*E51</f>
        <v>0.808604950470476</v>
      </c>
      <c r="F52" s="25" t="n">
        <f aca="false">$B$5*(C52/D52)+(1-$B$5)*F40</f>
        <v>0.886392395980825</v>
      </c>
      <c r="G52" s="27" t="n">
        <f aca="false">(D51+E51)*F40</f>
        <v>249.654616149237</v>
      </c>
      <c r="H52" s="28" t="n">
        <f aca="false">ABS(C52-G52)/C52</f>
        <v>0.0998000711420118</v>
      </c>
      <c r="I52" s="26" t="s">
        <v>68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Data!E46</f>
        <v>239</v>
      </c>
      <c r="D53" s="27" t="n">
        <f aca="false">$B$3*(C53/F41)+(1-$B$3)*(D52+E52)</f>
        <v>257.09787607611</v>
      </c>
      <c r="E53" s="25" t="n">
        <f aca="false">$B$4*(D53-D52)+(1-$B$4)*E52</f>
        <v>0.808024850698911</v>
      </c>
      <c r="F53" s="25" t="n">
        <f aca="false">$B$5*(C53/D53)+(1-$B$5)*F41</f>
        <v>0.929819455009301</v>
      </c>
      <c r="G53" s="27" t="n">
        <f aca="false">(D52+E52)*F41</f>
        <v>244.515860316902</v>
      </c>
      <c r="H53" s="28" t="n">
        <f aca="false">ABS(C53-G53)/C53</f>
        <v>0.0230789134598429</v>
      </c>
      <c r="I53" s="26" t="s">
        <v>68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Data!E47</f>
        <v>300</v>
      </c>
      <c r="D54" s="27" t="n">
        <f aca="false">$B$3*(C54/F42)+(1-$B$3)*(D53+E53)</f>
        <v>257.91979461784</v>
      </c>
      <c r="E54" s="25" t="n">
        <f aca="false">$B$4*(D54-D53)+(1-$B$4)*E53</f>
        <v>0.808163787609218</v>
      </c>
      <c r="F54" s="25" t="n">
        <f aca="false">$B$5*(C54/D54)+(1-$B$5)*F42</f>
        <v>1.1630905896131</v>
      </c>
      <c r="G54" s="27" t="n">
        <f aca="false">(D53+E53)*F42</f>
        <v>298.392524742654</v>
      </c>
      <c r="H54" s="28" t="n">
        <f aca="false">ABS(C54-G54)/C54</f>
        <v>0.00535825085782032</v>
      </c>
      <c r="I54" s="26" t="s">
        <v>68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Data!E48</f>
        <v>278</v>
      </c>
      <c r="D55" s="27" t="n">
        <f aca="false">$B$3*(C55/F43)+(1-$B$3)*(D54+E54)</f>
        <v>258.648464995962</v>
      </c>
      <c r="E55" s="25" t="n">
        <f aca="false">$B$4*(D55-D54)+(1-$B$4)*E54</f>
        <v>0.80736885351435</v>
      </c>
      <c r="F55" s="25" t="n">
        <f aca="false">$B$5*(C55/D55)+(1-$B$5)*F43</f>
        <v>1.07515519568048</v>
      </c>
      <c r="G55" s="27" t="n">
        <f aca="false">(D54+E54)*F43</f>
        <v>286.812221736214</v>
      </c>
      <c r="H55" s="28" t="n">
        <f aca="false">ABS(C55-G55)/C55</f>
        <v>0.0316986393388996</v>
      </c>
      <c r="I55" s="26" t="s">
        <v>68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Data!E49</f>
        <v>254</v>
      </c>
      <c r="D56" s="27" t="n">
        <f aca="false">$B$3*(C56/F44)+(1-$B$3)*(D55+E55)</f>
        <v>259.430710698237</v>
      </c>
      <c r="E56" s="25" t="n">
        <f aca="false">$B$4*(D56-D55)+(1-$B$4)*E55</f>
        <v>0.807117622001953</v>
      </c>
      <c r="F56" s="25" t="n">
        <f aca="false">$B$5*(C56/D56)+(1-$B$5)*F44</f>
        <v>0.979161589257752</v>
      </c>
      <c r="G56" s="27" t="n">
        <f aca="false">(D55+E55)*F44</f>
        <v>256.48353429833</v>
      </c>
      <c r="H56" s="28" t="n">
        <f aca="false">ABS(C56-G56)/C56</f>
        <v>0.00977769408791439</v>
      </c>
      <c r="I56" s="26" t="s">
        <v>68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Data!E50</f>
        <v>336</v>
      </c>
      <c r="D57" s="27" t="n">
        <f aca="false">$B$3*(C57/F45)+(1-$B$3)*(D56+E56)</f>
        <v>260.657427427218</v>
      </c>
      <c r="E57" s="25" t="n">
        <f aca="false">$B$4*(D57-D56)+(1-$B$4)*E56</f>
        <v>0.811313613071747</v>
      </c>
      <c r="F57" s="25" t="n">
        <f aca="false">$B$5*(C57/D57)+(1-$B$5)*F45</f>
        <v>1.28727631271704</v>
      </c>
      <c r="G57" s="27" t="n">
        <f aca="false">(D56+E56)*F45</f>
        <v>289.346672809956</v>
      </c>
      <c r="H57" s="28" t="n">
        <f aca="false">ABS(C57-G57)/C57</f>
        <v>0.138849188065606</v>
      </c>
      <c r="I57" s="26" t="s">
        <v>68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Data!E51</f>
        <v>266</v>
      </c>
      <c r="D58" s="27" t="n">
        <f aca="false">$B$3*(C58/F46)+(1-$B$3)*(D57+E57)</f>
        <v>261.14204153562</v>
      </c>
      <c r="E58" s="25" t="n">
        <f aca="false">$B$4*(D58-D57)+(1-$B$4)*E57</f>
        <v>0.80804661802505</v>
      </c>
      <c r="F58" s="25" t="n">
        <f aca="false">$B$5*(C58/D58)+(1-$B$5)*F46</f>
        <v>1.0200426518294</v>
      </c>
      <c r="G58" s="27" t="n">
        <f aca="false">(D57+E57)*F46</f>
        <v>303.981873953264</v>
      </c>
      <c r="H58" s="28" t="n">
        <f aca="false">ABS(C58-G58)/C58</f>
        <v>0.1427889998243</v>
      </c>
      <c r="I58" s="26" t="s">
        <v>68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Data!E52</f>
        <v>243</v>
      </c>
      <c r="D59" s="27" t="n">
        <f aca="false">$B$3*(C59/F47)+(1-$B$3)*(D58+E58)</f>
        <v>261.882643420573</v>
      </c>
      <c r="E59" s="25" t="n">
        <f aca="false">$B$4*(D59-D58)+(1-$B$4)*E58</f>
        <v>0.807372170694329</v>
      </c>
      <c r="F59" s="25" t="n">
        <f aca="false">$B$5*(C59/D59)+(1-$B$5)*F47</f>
        <v>0.928139313532778</v>
      </c>
      <c r="G59" s="27" t="n">
        <f aca="false">(D58+E58)*F47</f>
        <v>249.421908133323</v>
      </c>
      <c r="H59" s="28" t="n">
        <f aca="false">ABS(C59-G59)/C59</f>
        <v>0.0264276054869252</v>
      </c>
      <c r="I59" s="26" t="s">
        <v>68</v>
      </c>
    </row>
    <row r="60" customFormat="false" ht="15" hidden="false" customHeight="false" outlineLevel="0" collapsed="false">
      <c r="A60" s="8" t="n">
        <v>49</v>
      </c>
      <c r="B60" s="29" t="n">
        <f aca="false">EDATE(B59,1)</f>
        <v>45809</v>
      </c>
      <c r="C60" s="23" t="n">
        <f aca="false">Data!E53</f>
        <v>239</v>
      </c>
      <c r="D60" s="24"/>
      <c r="E60" s="24"/>
      <c r="F60" s="24"/>
      <c r="G60" s="30" t="n">
        <f aca="false">($D$59+(A60-48)*$E$59)*F48</f>
        <v>241.246199255225</v>
      </c>
      <c r="H60" s="28" t="n">
        <f aca="false">ABS(C60-G60)/C60</f>
        <v>0.00939832324361797</v>
      </c>
      <c r="I60" s="26" t="s">
        <v>69</v>
      </c>
    </row>
    <row r="61" customFormat="false" ht="15" hidden="false" customHeight="false" outlineLevel="0" collapsed="false">
      <c r="A61" s="8" t="n">
        <v>50</v>
      </c>
      <c r="B61" s="29" t="n">
        <f aca="false">EDATE(B60,1)</f>
        <v>45839</v>
      </c>
      <c r="C61" s="23" t="n">
        <f aca="false">Data!E54</f>
        <v>277</v>
      </c>
      <c r="D61" s="24"/>
      <c r="E61" s="24"/>
      <c r="F61" s="24"/>
      <c r="G61" s="30" t="n">
        <f aca="false">($D$59+(A61-48)*$E$59)*F49</f>
        <v>267.357425147358</v>
      </c>
      <c r="H61" s="28" t="n">
        <f aca="false">ABS(C61-G61)/C61</f>
        <v>0.0348107395402252</v>
      </c>
      <c r="I61" s="26" t="s">
        <v>69</v>
      </c>
    </row>
    <row r="62" customFormat="false" ht="15" hidden="false" customHeight="false" outlineLevel="0" collapsed="false">
      <c r="A62" s="8" t="n">
        <v>51</v>
      </c>
      <c r="B62" s="29" t="n">
        <f aca="false">EDATE(B61,1)</f>
        <v>45870</v>
      </c>
      <c r="C62" s="23" t="n">
        <f aca="false">Data!E55</f>
        <v>252</v>
      </c>
      <c r="D62" s="24"/>
      <c r="E62" s="24"/>
      <c r="F62" s="24"/>
      <c r="G62" s="30" t="n">
        <f aca="false">($D$59+(A62-48)*$E$59)*F50</f>
        <v>233.168106430952</v>
      </c>
      <c r="H62" s="28" t="n">
        <f aca="false">ABS(C62-G62)/C62</f>
        <v>0.0747297363851096</v>
      </c>
      <c r="I62" s="26" t="s">
        <v>69</v>
      </c>
    </row>
    <row r="63" customFormat="false" ht="15" hidden="false" customHeight="false" outlineLevel="0" collapsed="false">
      <c r="A63" s="8" t="n">
        <v>52</v>
      </c>
      <c r="B63" s="29" t="n">
        <f aca="false">EDATE(B62,1)</f>
        <v>45901</v>
      </c>
      <c r="C63" s="23" t="n">
        <f aca="false">Data!E56</f>
        <v>278</v>
      </c>
      <c r="D63" s="24"/>
      <c r="E63" s="24"/>
      <c r="F63" s="24"/>
      <c r="G63" s="30" t="n">
        <f aca="false">($D$59+(A63-48)*$E$59)*F51</f>
        <v>239.645276017918</v>
      </c>
      <c r="H63" s="28" t="n">
        <f aca="false">ABS(C63-G63)/C63</f>
        <v>0.137966633029073</v>
      </c>
      <c r="I63" s="26" t="s">
        <v>69</v>
      </c>
    </row>
    <row r="64" customFormat="false" ht="15" hidden="false" customHeight="false" outlineLevel="0" collapsed="false">
      <c r="A64" s="8" t="n">
        <v>53</v>
      </c>
      <c r="B64" s="29" t="n">
        <f aca="false">EDATE(B63,1)</f>
        <v>45931</v>
      </c>
      <c r="C64" s="23" t="n">
        <f aca="false">Data!E57</f>
        <v>278</v>
      </c>
      <c r="D64" s="24"/>
      <c r="E64" s="24"/>
      <c r="F64" s="24"/>
      <c r="G64" s="30" t="n">
        <f aca="false">($D$59+(A64-48)*$E$59)*F52</f>
        <v>235.709026531504</v>
      </c>
      <c r="H64" s="28" t="n">
        <f aca="false">ABS(C64-G64)/C64</f>
        <v>0.152125803843512</v>
      </c>
      <c r="I64" s="26" t="s">
        <v>69</v>
      </c>
    </row>
    <row r="65" customFormat="false" ht="15" hidden="false" customHeight="false" outlineLevel="0" collapsed="false">
      <c r="A65" s="8" t="n">
        <v>54</v>
      </c>
      <c r="B65" s="29" t="n">
        <f aca="false">EDATE(B64,1)</f>
        <v>45962</v>
      </c>
      <c r="C65" s="23" t="n">
        <f aca="false">Data!E58</f>
        <v>278</v>
      </c>
      <c r="D65" s="24"/>
      <c r="E65" s="24"/>
      <c r="F65" s="24"/>
      <c r="G65" s="30" t="n">
        <f aca="false">($D$59+(A65-48)*$E$59)*F53</f>
        <v>248.00783889218</v>
      </c>
      <c r="H65" s="28" t="n">
        <f aca="false">ABS(C65-G65)/C65</f>
        <v>0.107885471610862</v>
      </c>
      <c r="I65" s="26" t="s">
        <v>69</v>
      </c>
    </row>
    <row r="66" customFormat="false" ht="15" hidden="false" customHeight="false" outlineLevel="0" collapsed="false">
      <c r="A66" s="8" t="n">
        <v>55</v>
      </c>
      <c r="B66" s="29" t="n">
        <f aca="false">EDATE(B65,1)</f>
        <v>45992</v>
      </c>
      <c r="C66" s="23" t="n">
        <f aca="false">Data!E59</f>
        <v>360</v>
      </c>
      <c r="D66" s="24"/>
      <c r="E66" s="24"/>
      <c r="F66" s="24"/>
      <c r="G66" s="30" t="n">
        <f aca="false">($D$59+(A66-48)*$E$59)*F54</f>
        <v>311.166566963822</v>
      </c>
      <c r="H66" s="28" t="n">
        <f aca="false">ABS(C66-G66)/C66</f>
        <v>0.135648425100496</v>
      </c>
      <c r="I66" s="26" t="s">
        <v>69</v>
      </c>
    </row>
    <row r="67" customFormat="false" ht="15" hidden="false" customHeight="false" outlineLevel="0" collapsed="false">
      <c r="A67" s="8" t="n">
        <v>56</v>
      </c>
      <c r="B67" s="29" t="n">
        <f aca="false">EDATE(B66,1)</f>
        <v>46023</v>
      </c>
      <c r="C67" s="23" t="n">
        <f aca="false">Data!E60</f>
        <v>282</v>
      </c>
      <c r="D67" s="24"/>
      <c r="E67" s="24"/>
      <c r="F67" s="24"/>
      <c r="G67" s="30" t="n">
        <f aca="false">($D$59+(A67-48)*$E$59)*F55</f>
        <v>288.508887805525</v>
      </c>
      <c r="H67" s="28" t="n">
        <f aca="false">ABS(C67-G67)/C67</f>
        <v>0.0230811624309411</v>
      </c>
      <c r="I67" s="26" t="s">
        <v>69</v>
      </c>
    </row>
    <row r="68" customFormat="false" ht="15" hidden="false" customHeight="false" outlineLevel="0" collapsed="false">
      <c r="A68" s="8" t="n">
        <v>57</v>
      </c>
      <c r="B68" s="29" t="n">
        <f aca="false">EDATE(B67,1)</f>
        <v>46054</v>
      </c>
      <c r="C68" s="23" t="n">
        <f aca="false">Data!E61</f>
        <v>307</v>
      </c>
      <c r="D68" s="24"/>
      <c r="E68" s="24"/>
      <c r="F68" s="24"/>
      <c r="G68" s="30" t="n">
        <f aca="false">($D$59+(A68-48)*$E$59)*F56</f>
        <v>263.540355690725</v>
      </c>
      <c r="H68" s="28" t="n">
        <f aca="false">ABS(C68-G68)/C68</f>
        <v>0.141562359313598</v>
      </c>
      <c r="I68" s="26" t="s">
        <v>69</v>
      </c>
    </row>
    <row r="69" customFormat="false" ht="15" hidden="false" customHeight="false" outlineLevel="0" collapsed="false">
      <c r="A69" s="8" t="n">
        <v>58</v>
      </c>
      <c r="B69" s="29" t="n">
        <f aca="false">EDATE(B68,1)</f>
        <v>46082</v>
      </c>
      <c r="C69" s="23" t="n">
        <f aca="false">Data!E62</f>
        <v>362</v>
      </c>
      <c r="D69" s="24"/>
      <c r="E69" s="24"/>
      <c r="F69" s="24"/>
      <c r="G69" s="30" t="n">
        <f aca="false">($D$59+(A69-48)*$E$59)*F57</f>
        <v>347.508434295844</v>
      </c>
      <c r="H69" s="28" t="n">
        <f aca="false">ABS(C69-G69)/C69</f>
        <v>0.0400319494589944</v>
      </c>
      <c r="I69" s="26" t="s">
        <v>69</v>
      </c>
    </row>
    <row r="70" customFormat="false" ht="15" hidden="false" customHeight="false" outlineLevel="0" collapsed="false">
      <c r="A70" s="8" t="n">
        <v>59</v>
      </c>
      <c r="B70" s="29" t="n">
        <f aca="false">EDATE(B69,1)</f>
        <v>46113</v>
      </c>
      <c r="C70" s="23" t="n">
        <f aca="false">Data!E63</f>
        <v>270</v>
      </c>
      <c r="D70" s="24"/>
      <c r="E70" s="24"/>
      <c r="F70" s="24"/>
      <c r="G70" s="30" t="n">
        <f aca="false">($D$59+(A70-48)*$E$59)*F58</f>
        <v>276.190560612906</v>
      </c>
      <c r="H70" s="28" t="n">
        <f aca="false">ABS(C70-G70)/C70</f>
        <v>0.022928002270022</v>
      </c>
      <c r="I70" s="26" t="s">
        <v>69</v>
      </c>
    </row>
    <row r="71" customFormat="false" ht="15" hidden="false" customHeight="false" outlineLevel="0" collapsed="false">
      <c r="A71" s="8" t="n">
        <v>60</v>
      </c>
      <c r="B71" s="29" t="n">
        <f aca="false">EDATE(B70,1)</f>
        <v>46143</v>
      </c>
      <c r="C71" s="23" t="n">
        <f aca="false">Data!E64</f>
        <v>294</v>
      </c>
      <c r="D71" s="24"/>
      <c r="E71" s="24"/>
      <c r="F71" s="24"/>
      <c r="G71" s="30" t="n">
        <f aca="false">($D$59+(A71-48)*$E$59)*F59</f>
        <v>252.055823117804</v>
      </c>
      <c r="H71" s="28" t="n">
        <f aca="false">ABS(C71-G71)/C71</f>
        <v>0.142667268306788</v>
      </c>
      <c r="I71" s="2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5" t="s">
        <v>79</v>
      </c>
    </row>
    <row r="3" customFormat="false" ht="15" hidden="false" customHeight="false" outlineLevel="0" collapsed="false">
      <c r="A3" s="12" t="s">
        <v>49</v>
      </c>
      <c r="B3" s="18" t="n">
        <v>0.14</v>
      </c>
      <c r="C3" s="6" t="s">
        <v>71</v>
      </c>
    </row>
    <row r="4" customFormat="false" ht="15" hidden="false" customHeight="false" outlineLevel="0" collapsed="false">
      <c r="A4" s="12" t="s">
        <v>51</v>
      </c>
      <c r="B4" s="18" t="n">
        <v>0.01</v>
      </c>
      <c r="C4" s="6" t="s">
        <v>52</v>
      </c>
    </row>
    <row r="5" customFormat="false" ht="15" hidden="false" customHeight="false" outlineLevel="0" collapsed="false">
      <c r="A5" s="12" t="s">
        <v>53</v>
      </c>
      <c r="B5" s="18" t="n">
        <v>0.99</v>
      </c>
      <c r="C5" s="6" t="s">
        <v>54</v>
      </c>
    </row>
    <row r="6" customFormat="false" ht="15" hidden="false" customHeight="false" outlineLevel="0" collapsed="false">
      <c r="A6" s="12" t="s">
        <v>55</v>
      </c>
      <c r="B6" s="15" t="n">
        <v>12</v>
      </c>
      <c r="C6" s="6" t="s">
        <v>72</v>
      </c>
    </row>
    <row r="7" customFormat="false" ht="15" hidden="false" customHeight="false" outlineLevel="0" collapsed="false">
      <c r="A7" s="12" t="s">
        <v>73</v>
      </c>
      <c r="B7" s="6" t="s">
        <v>74</v>
      </c>
    </row>
    <row r="8" customFormat="false" ht="15" hidden="false" customHeight="false" outlineLevel="0" collapsed="false">
      <c r="A8" s="12" t="s">
        <v>75</v>
      </c>
      <c r="B8" s="20" t="n">
        <f aca="false">AVERAGE(H24:H71)</f>
        <v>0.0577608991196753</v>
      </c>
    </row>
    <row r="9" customFormat="false" ht="15" hidden="false" customHeight="false" outlineLevel="0" collapsed="false">
      <c r="A9" s="12" t="s">
        <v>76</v>
      </c>
      <c r="B9" s="21" t="n">
        <f aca="false">SUMXMY2(C24:C71,G24:G71)</f>
        <v>18838.1601542288</v>
      </c>
    </row>
    <row r="11" customFormat="false" ht="15" hidden="false" customHeight="false" outlineLevel="0" collapsed="false">
      <c r="A11" s="7" t="s">
        <v>21</v>
      </c>
      <c r="B11" s="7" t="s">
        <v>22</v>
      </c>
      <c r="C11" s="7" t="s">
        <v>60</v>
      </c>
      <c r="D11" s="7" t="s">
        <v>61</v>
      </c>
      <c r="E11" s="7" t="s">
        <v>62</v>
      </c>
      <c r="F11" s="7" t="s">
        <v>63</v>
      </c>
      <c r="G11" s="7" t="s">
        <v>64</v>
      </c>
      <c r="H11" s="7" t="s">
        <v>65</v>
      </c>
      <c r="I11" s="7" t="s">
        <v>66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Data!E5</f>
        <v>221</v>
      </c>
      <c r="D12" s="24"/>
      <c r="E12" s="24"/>
      <c r="F12" s="25" t="n">
        <f aca="false">C12/$D$23</f>
        <v>0.950537634408602</v>
      </c>
      <c r="G12" s="24"/>
      <c r="H12" s="24"/>
      <c r="I12" s="26" t="s">
        <v>67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Data!E6</f>
        <v>238</v>
      </c>
      <c r="D13" s="24"/>
      <c r="E13" s="24"/>
      <c r="F13" s="25" t="n">
        <f aca="false">C13/$D$23</f>
        <v>1.02365591397849</v>
      </c>
      <c r="G13" s="24"/>
      <c r="H13" s="24"/>
      <c r="I13" s="26" t="s">
        <v>67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Data!E7</f>
        <v>222</v>
      </c>
      <c r="D14" s="24"/>
      <c r="E14" s="24"/>
      <c r="F14" s="25" t="n">
        <f aca="false">C14/$D$23</f>
        <v>0.954838709677419</v>
      </c>
      <c r="G14" s="24"/>
      <c r="H14" s="24"/>
      <c r="I14" s="26" t="s">
        <v>67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Data!E8</f>
        <v>204</v>
      </c>
      <c r="D15" s="24"/>
      <c r="E15" s="24"/>
      <c r="F15" s="25" t="n">
        <f aca="false">C15/$D$23</f>
        <v>0.87741935483871</v>
      </c>
      <c r="G15" s="24"/>
      <c r="H15" s="24"/>
      <c r="I15" s="26" t="s">
        <v>67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Data!E9</f>
        <v>221</v>
      </c>
      <c r="D16" s="24"/>
      <c r="E16" s="24"/>
      <c r="F16" s="25" t="n">
        <f aca="false">C16/$D$23</f>
        <v>0.950537634408602</v>
      </c>
      <c r="G16" s="24"/>
      <c r="H16" s="24"/>
      <c r="I16" s="26" t="s">
        <v>67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Data!E10</f>
        <v>225</v>
      </c>
      <c r="D17" s="24"/>
      <c r="E17" s="24"/>
      <c r="F17" s="25" t="n">
        <f aca="false">C17/$D$23</f>
        <v>0.967741935483871</v>
      </c>
      <c r="G17" s="24"/>
      <c r="H17" s="24"/>
      <c r="I17" s="26" t="s">
        <v>67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Data!E11</f>
        <v>278</v>
      </c>
      <c r="D18" s="24"/>
      <c r="E18" s="24"/>
      <c r="F18" s="25" t="n">
        <f aca="false">C18/$D$23</f>
        <v>1.19569892473118</v>
      </c>
      <c r="G18" s="24"/>
      <c r="H18" s="24"/>
      <c r="I18" s="26" t="s">
        <v>67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Data!E12</f>
        <v>245</v>
      </c>
      <c r="D19" s="24"/>
      <c r="E19" s="24"/>
      <c r="F19" s="25" t="n">
        <f aca="false">C19/$D$23</f>
        <v>1.05376344086022</v>
      </c>
      <c r="G19" s="24"/>
      <c r="H19" s="24"/>
      <c r="I19" s="26" t="s">
        <v>67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Data!E13</f>
        <v>179</v>
      </c>
      <c r="D20" s="24"/>
      <c r="E20" s="24"/>
      <c r="F20" s="25" t="n">
        <f aca="false">C20/$D$23</f>
        <v>0.76989247311828</v>
      </c>
      <c r="G20" s="24"/>
      <c r="H20" s="24"/>
      <c r="I20" s="26" t="s">
        <v>67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Data!E14</f>
        <v>223</v>
      </c>
      <c r="D21" s="24"/>
      <c r="E21" s="24"/>
      <c r="F21" s="25" t="n">
        <f aca="false">C21/$D$23</f>
        <v>0.959139784946237</v>
      </c>
      <c r="G21" s="24"/>
      <c r="H21" s="24"/>
      <c r="I21" s="26" t="s">
        <v>67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Data!E15</f>
        <v>293</v>
      </c>
      <c r="D22" s="24"/>
      <c r="E22" s="24"/>
      <c r="F22" s="25" t="n">
        <f aca="false">C22/$D$23</f>
        <v>1.26021505376344</v>
      </c>
      <c r="G22" s="24"/>
      <c r="H22" s="24"/>
      <c r="I22" s="26" t="s">
        <v>67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Data!E16</f>
        <v>241</v>
      </c>
      <c r="D23" s="27" t="n">
        <f aca="false">AVERAGE(C12:C23)</f>
        <v>232.5</v>
      </c>
      <c r="E23" s="25" t="n">
        <f aca="false">(AVERAGE(C24:C35)-AVERAGE(C12:C23))/$B$6</f>
        <v>0.805555555555555</v>
      </c>
      <c r="F23" s="25" t="n">
        <f aca="false">C23/$D$23</f>
        <v>1.03655913978495</v>
      </c>
      <c r="G23" s="24"/>
      <c r="H23" s="24"/>
      <c r="I23" s="26" t="s">
        <v>67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Data!E17</f>
        <v>228</v>
      </c>
      <c r="D24" s="27" t="n">
        <f aca="false">$B$3*(C24/F12)+(1-$B$3)*(D23+E23)</f>
        <v>234.223773252891</v>
      </c>
      <c r="E24" s="25" t="n">
        <f aca="false">$B$4*(D24-D23)+(1-$B$4)*E23</f>
        <v>0.814737732528908</v>
      </c>
      <c r="F24" s="25" t="n">
        <f aca="false">$B$5*(C24/D24)+(1-$B$5)*F12</f>
        <v>0.973199184471285</v>
      </c>
      <c r="G24" s="27" t="n">
        <f aca="false">(D23+E23)*F12</f>
        <v>221.765710872163</v>
      </c>
      <c r="H24" s="28" t="n">
        <f aca="false">ABS(C24-G24)/C24</f>
        <v>0.0273433733677084</v>
      </c>
      <c r="I24" s="26" t="s">
        <v>68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Data!E18</f>
        <v>245</v>
      </c>
      <c r="D25" s="27" t="n">
        <f aca="false">$B$3*(C25/F13)+(1-$B$3)*(D24+E24)</f>
        <v>235.640472388637</v>
      </c>
      <c r="E25" s="25" t="n">
        <f aca="false">$B$4*(D25-D24)+(1-$B$4)*E24</f>
        <v>0.820757346561085</v>
      </c>
      <c r="F25" s="25" t="n">
        <f aca="false">$B$5*(C25/D25)+(1-$B$5)*F13</f>
        <v>1.03955888879446</v>
      </c>
      <c r="G25" s="27" t="n">
        <f aca="false">(D24+E24)*F13</f>
        <v>240.598561782924</v>
      </c>
      <c r="H25" s="28" t="n">
        <f aca="false">ABS(C25-G25)/C25</f>
        <v>0.0179650539472476</v>
      </c>
      <c r="I25" s="26" t="s">
        <v>68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Data!E19</f>
        <v>223</v>
      </c>
      <c r="D26" s="27" t="n">
        <f aca="false">$B$3*(C26/F14)+(1-$B$3)*(D25+E25)</f>
        <v>236.053279193892</v>
      </c>
      <c r="E26" s="25" t="n">
        <f aca="false">$B$4*(D26-D25)+(1-$B$4)*E25</f>
        <v>0.816677841148023</v>
      </c>
      <c r="F26" s="25" t="n">
        <f aca="false">$B$5*(C26/D26)+(1-$B$5)*F14</f>
        <v>0.944803346290377</v>
      </c>
      <c r="G26" s="27" t="n">
        <f aca="false">(D25+E25)*F14</f>
        <v>225.782335489093</v>
      </c>
      <c r="H26" s="28" t="n">
        <f aca="false">ABS(C26-G26)/C26</f>
        <v>0.0124768407582637</v>
      </c>
      <c r="I26" s="26" t="s">
        <v>68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Data!E20</f>
        <v>206</v>
      </c>
      <c r="D27" s="27" t="n">
        <f aca="false">$B$3*(C27/F15)+(1-$B$3)*(D26+E26)</f>
        <v>236.577280697194</v>
      </c>
      <c r="E27" s="25" t="n">
        <f aca="false">$B$4*(D27-D26)+(1-$B$4)*E26</f>
        <v>0.813751077769555</v>
      </c>
      <c r="F27" s="25" t="n">
        <f aca="false">$B$5*(C27/D27)+(1-$B$5)*F15</f>
        <v>0.870818086347343</v>
      </c>
      <c r="G27" s="27" t="n">
        <f aca="false">(D26+E26)*F15</f>
        <v>207.834284882358</v>
      </c>
      <c r="H27" s="28" t="n">
        <f aca="false">ABS(C27-G27)/C27</f>
        <v>0.00890429554542742</v>
      </c>
      <c r="I27" s="26" t="s">
        <v>68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Data!E21</f>
        <v>207</v>
      </c>
      <c r="D28" s="27" t="n">
        <f aca="false">$B$3*(C28/F16)+(1-$B$3)*(D27+E27)</f>
        <v>234.644296376242</v>
      </c>
      <c r="E28" s="25" t="n">
        <f aca="false">$B$4*(D28-D27)+(1-$B$4)*E27</f>
        <v>0.786283723782344</v>
      </c>
      <c r="F28" s="25" t="n">
        <f aca="false">$B$5*(C28/D28)+(1-$B$5)*F16</f>
        <v>0.882869882385194</v>
      </c>
      <c r="G28" s="27" t="n">
        <f aca="false">(D27+E27)*F16</f>
        <v>225.649109773191</v>
      </c>
      <c r="H28" s="28" t="n">
        <f aca="false">ABS(C28-G28)/C28</f>
        <v>0.0900923177448829</v>
      </c>
      <c r="I28" s="26" t="s">
        <v>68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Data!E22</f>
        <v>228</v>
      </c>
      <c r="D29" s="27" t="n">
        <f aca="false">$B$3*(C29/F17)+(1-$B$3)*(D28+E28)</f>
        <v>235.454298886021</v>
      </c>
      <c r="E29" s="25" t="n">
        <f aca="false">$B$4*(D29-D28)+(1-$B$4)*E28</f>
        <v>0.78652091164231</v>
      </c>
      <c r="F29" s="25" t="n">
        <f aca="false">$B$5*(C29/D29)+(1-$B$5)*F17</f>
        <v>0.968334793919347</v>
      </c>
      <c r="G29" s="27" t="n">
        <f aca="false">(D28+E28)*F17</f>
        <v>227.836045258088</v>
      </c>
      <c r="H29" s="28" t="n">
        <f aca="false">ABS(C29-G29)/C29</f>
        <v>0.000719099745227543</v>
      </c>
      <c r="I29" s="26" t="s">
        <v>68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Data!E23</f>
        <v>282</v>
      </c>
      <c r="D30" s="27" t="n">
        <f aca="false">$B$3*(C30/F18)+(1-$B$3)*(D29+E29)</f>
        <v>236.185450349731</v>
      </c>
      <c r="E30" s="25" t="n">
        <f aca="false">$B$4*(D30-D29)+(1-$B$4)*E29</f>
        <v>0.785967217162991</v>
      </c>
      <c r="F30" s="25" t="n">
        <f aca="false">$B$5*(C30/D30)+(1-$B$5)*F18</f>
        <v>1.19399423830988</v>
      </c>
      <c r="G30" s="27" t="n">
        <f aca="false">(D29+E29)*F18</f>
        <v>282.472894209679</v>
      </c>
      <c r="H30" s="28" t="n">
        <f aca="false">ABS(C30-G30)/C30</f>
        <v>0.00167692982155713</v>
      </c>
      <c r="I30" s="26" t="s">
        <v>68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Data!E24</f>
        <v>261</v>
      </c>
      <c r="D31" s="27" t="n">
        <f aca="false">$B$3*(C31/F19)+(1-$B$3)*(D30+E30)</f>
        <v>238.471133393244</v>
      </c>
      <c r="E31" s="25" t="n">
        <f aca="false">$B$4*(D31-D30)+(1-$B$4)*E30</f>
        <v>0.800964375426482</v>
      </c>
      <c r="F31" s="25" t="n">
        <f aca="false">$B$5*(C31/D31)+(1-$B$5)*F19</f>
        <v>1.09406500446521</v>
      </c>
      <c r="G31" s="27" t="n">
        <f aca="false">(D30+E30)*F19</f>
        <v>249.711816360814</v>
      </c>
      <c r="H31" s="28" t="n">
        <f aca="false">ABS(C31-G31)/C31</f>
        <v>0.0432497457440096</v>
      </c>
      <c r="I31" s="26" t="s">
        <v>68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Data!E25</f>
        <v>228</v>
      </c>
      <c r="D32" s="27" t="n">
        <f aca="false">$B$3*(C32/F20)+(1-$B$3)*(D31+E31)</f>
        <v>247.234339276587</v>
      </c>
      <c r="E32" s="25" t="n">
        <f aca="false">$B$4*(D32-D31)+(1-$B$4)*E31</f>
        <v>0.880586790505651</v>
      </c>
      <c r="F32" s="25" t="n">
        <f aca="false">$B$5*(C32/D32)+(1-$B$5)*F20</f>
        <v>0.920678896123756</v>
      </c>
      <c r="G32" s="27" t="n">
        <f aca="false">(D31+E31)*F20</f>
        <v>184.21378709932</v>
      </c>
      <c r="H32" s="28" t="n">
        <f aca="false">ABS(C32-G32)/C32</f>
        <v>0.192044793424035</v>
      </c>
      <c r="I32" s="26" t="s">
        <v>68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Data!E26</f>
        <v>256</v>
      </c>
      <c r="D33" s="27" t="n">
        <f aca="false">$B$3*(C33/F21)+(1-$B$3)*(D32+E32)</f>
        <v>250.745652561197</v>
      </c>
      <c r="E33" s="25" t="n">
        <f aca="false">$B$4*(D33-D32)+(1-$B$4)*E32</f>
        <v>0.906894055446699</v>
      </c>
      <c r="F33" s="25" t="n">
        <f aca="false">$B$5*(C33/D33)+(1-$B$5)*F21</f>
        <v>1.02033673844174</v>
      </c>
      <c r="G33" s="27" t="n">
        <f aca="false">(D32+E32)*F21</f>
        <v>237.976896829943</v>
      </c>
      <c r="H33" s="28" t="n">
        <f aca="false">ABS(C33-G33)/C33</f>
        <v>0.0704027467580369</v>
      </c>
      <c r="I33" s="26" t="s">
        <v>68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Data!E27</f>
        <v>311</v>
      </c>
      <c r="D34" s="27" t="n">
        <f aca="false">$B$3*(C34/F22)+(1-$B$3)*(D33+E33)</f>
        <v>250.970848793386</v>
      </c>
      <c r="E34" s="25" t="n">
        <f aca="false">$B$4*(D34-D33)+(1-$B$4)*E33</f>
        <v>0.900077077214114</v>
      </c>
      <c r="F34" s="25" t="n">
        <f aca="false">$B$5*(C34/D34)+(1-$B$5)*F22</f>
        <v>1.23939801738938</v>
      </c>
      <c r="G34" s="27" t="n">
        <f aca="false">(D33+E33)*F22</f>
        <v>317.136327564201</v>
      </c>
      <c r="H34" s="28" t="n">
        <f aca="false">ABS(C34-G34)/C34</f>
        <v>0.0197309567980738</v>
      </c>
      <c r="I34" s="26" t="s">
        <v>68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Data!E28</f>
        <v>231</v>
      </c>
      <c r="D35" s="27" t="n">
        <f aca="false">$B$3*(C35/F23)+(1-$B$3)*(D34+E34)</f>
        <v>247.808373842077</v>
      </c>
      <c r="E35" s="25" t="n">
        <f aca="false">$B$4*(D35-D34)+(1-$B$4)*E34</f>
        <v>0.859451556928885</v>
      </c>
      <c r="F35" s="25" t="n">
        <f aca="false">$B$5*(C35/D35)+(1-$B$5)*F23</f>
        <v>0.933215761690075</v>
      </c>
      <c r="G35" s="27" t="n">
        <f aca="false">(D34+E34)*F23</f>
        <v>261.079110257267</v>
      </c>
      <c r="H35" s="28" t="n">
        <f aca="false">ABS(C35-G35)/C35</f>
        <v>0.130212598516306</v>
      </c>
      <c r="I35" s="26" t="s">
        <v>68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Data!E29</f>
        <v>233</v>
      </c>
      <c r="D36" s="27" t="n">
        <f aca="false">$B$3*(C36/F24)+(1-$B$3)*(D35+E35)</f>
        <v>247.372648107788</v>
      </c>
      <c r="E36" s="25" t="n">
        <f aca="false">$B$4*(D36-D35)+(1-$B$4)*E35</f>
        <v>0.846499784016712</v>
      </c>
      <c r="F36" s="25" t="n">
        <f aca="false">$B$5*(C36/D36)+(1-$B$5)*F24</f>
        <v>0.942211802221685</v>
      </c>
      <c r="G36" s="27" t="n">
        <f aca="false">(D35+E35)*F24</f>
        <v>242.00332488256</v>
      </c>
      <c r="H36" s="28" t="n">
        <f aca="false">ABS(C36-G36)/C36</f>
        <v>0.0386408793242926</v>
      </c>
      <c r="I36" s="26" t="s">
        <v>68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Data!E30</f>
        <v>266</v>
      </c>
      <c r="D37" s="27" t="n">
        <f aca="false">$B$3*(C37/F25)+(1-$B$3)*(D36+E36)</f>
        <v>249.291353606774</v>
      </c>
      <c r="E37" s="25" t="n">
        <f aca="false">$B$4*(D37-D36)+(1-$B$4)*E36</f>
        <v>0.857221841166403</v>
      </c>
      <c r="F37" s="25" t="n">
        <f aca="false">$B$5*(C37/D37)+(1-$B$5)*F25</f>
        <v>1.06674991562238</v>
      </c>
      <c r="G37" s="27" t="n">
        <f aca="false">(D36+E36)*F25</f>
        <v>258.038421559912</v>
      </c>
      <c r="H37" s="28" t="n">
        <f aca="false">ABS(C37-G37)/C37</f>
        <v>0.0299307460153681</v>
      </c>
      <c r="I37" s="26" t="s">
        <v>68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Data!E31</f>
        <v>226</v>
      </c>
      <c r="D38" s="27" t="n">
        <f aca="false">$B$3*(C38/F26)+(1-$B$3)*(D37+E37)</f>
        <v>248.61622528523</v>
      </c>
      <c r="E38" s="25" t="n">
        <f aca="false">$B$4*(D38-D37)+(1-$B$4)*E37</f>
        <v>0.841898339539293</v>
      </c>
      <c r="F38" s="25" t="n">
        <f aca="false">$B$5*(C38/D38)+(1-$B$5)*F26</f>
        <v>0.909389297325752</v>
      </c>
      <c r="G38" s="27" t="n">
        <f aca="false">(D37+E37)*F26</f>
        <v>236.341211152985</v>
      </c>
      <c r="H38" s="28" t="n">
        <f aca="false">ABS(C38-G38)/C38</f>
        <v>0.0457575714733853</v>
      </c>
      <c r="I38" s="26" t="s">
        <v>68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Data!E32</f>
        <v>242</v>
      </c>
      <c r="D39" s="27" t="n">
        <f aca="false">$B$3*(C39/F27)+(1-$B$3)*(D38+E38)</f>
        <v>253.439930659948</v>
      </c>
      <c r="E39" s="25" t="n">
        <f aca="false">$B$4*(D39-D38)+(1-$B$4)*E38</f>
        <v>0.881716409891086</v>
      </c>
      <c r="F39" s="25" t="n">
        <f aca="false">$B$5*(C39/D39)+(1-$B$5)*F27</f>
        <v>0.954020939496822</v>
      </c>
      <c r="G39" s="27" t="n">
        <f aca="false">(D38+E38)*F27</f>
        <v>217.23264583872</v>
      </c>
      <c r="H39" s="28" t="n">
        <f aca="false">ABS(C39-G39)/C39</f>
        <v>0.102344438682975</v>
      </c>
      <c r="I39" s="26" t="s">
        <v>68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Data!E33</f>
        <v>241</v>
      </c>
      <c r="D40" s="27" t="n">
        <f aca="false">$B$3*(C40/F28)+(1-$B$3)*(D39+E39)</f>
        <v>256.9328935025</v>
      </c>
      <c r="E40" s="25" t="n">
        <f aca="false">$B$4*(D40-D39)+(1-$B$4)*E39</f>
        <v>0.907828874217693</v>
      </c>
      <c r="F40" s="25" t="n">
        <f aca="false">$B$5*(C40/D40)+(1-$B$5)*F28</f>
        <v>0.937436930909475</v>
      </c>
      <c r="G40" s="27" t="n">
        <f aca="false">(D39+E39)*F28</f>
        <v>224.532922636558</v>
      </c>
      <c r="H40" s="28" t="n">
        <f aca="false">ABS(C40-G40)/C40</f>
        <v>0.0683281218400091</v>
      </c>
      <c r="I40" s="26" t="s">
        <v>68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Data!E34</f>
        <v>236</v>
      </c>
      <c r="D41" s="27" t="n">
        <f aca="false">$B$3*(C41/F29)+(1-$B$3)*(D40+E40)</f>
        <v>255.863451706121</v>
      </c>
      <c r="E41" s="25" t="n">
        <f aca="false">$B$4*(D41-D40)+(1-$B$4)*E40</f>
        <v>0.888056167511731</v>
      </c>
      <c r="F41" s="25" t="n">
        <f aca="false">$B$5*(C41/D41)+(1-$B$5)*F29</f>
        <v>0.922826661069954</v>
      </c>
      <c r="G41" s="27" t="n">
        <f aca="false">(D40+E40)*F29</f>
        <v>249.676142766674</v>
      </c>
      <c r="H41" s="28" t="n">
        <f aca="false">ABS(C41-G41)/C41</f>
        <v>0.0579497574859088</v>
      </c>
      <c r="I41" s="26" t="s">
        <v>68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Data!E35</f>
        <v>288</v>
      </c>
      <c r="D42" s="27" t="n">
        <f aca="false">$B$3*(C42/F30)+(1-$B$3)*(D41+E41)</f>
        <v>254.575303945994</v>
      </c>
      <c r="E42" s="25" t="n">
        <f aca="false">$B$4*(D42-D41)+(1-$B$4)*E41</f>
        <v>0.866294128235337</v>
      </c>
      <c r="F42" s="25" t="n">
        <f aca="false">$B$5*(C42/D42)+(1-$B$5)*F30</f>
        <v>1.13192289273435</v>
      </c>
      <c r="G42" s="27" t="n">
        <f aca="false">(D41+E41)*F30</f>
        <v>306.559821078492</v>
      </c>
      <c r="H42" s="28" t="n">
        <f aca="false">ABS(C42-G42)/C42</f>
        <v>0.0644438231892066</v>
      </c>
      <c r="I42" s="26" t="s">
        <v>68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Data!E36</f>
        <v>277</v>
      </c>
      <c r="D43" s="27" t="n">
        <f aca="false">$B$3*(C43/F31)+(1-$B$3)*(D42+E42)</f>
        <v>255.125565811188</v>
      </c>
      <c r="E43" s="25" t="n">
        <f aca="false">$B$4*(D43-D42)+(1-$B$4)*E42</f>
        <v>0.863133805604923</v>
      </c>
      <c r="F43" s="25" t="n">
        <f aca="false">$B$5*(C43/D43)+(1-$B$5)*F31</f>
        <v>1.08582312655409</v>
      </c>
      <c r="G43" s="27" t="n">
        <f aca="false">(D42+E42)*F31</f>
        <v>279.469713137682</v>
      </c>
      <c r="H43" s="28" t="n">
        <f aca="false">ABS(C43-G43)/C43</f>
        <v>0.00891593190498976</v>
      </c>
      <c r="I43" s="26" t="s">
        <v>68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Data!E37</f>
        <v>248</v>
      </c>
      <c r="D44" s="27" t="n">
        <f aca="false">$B$3*(C44/F32)+(1-$B$3)*(D43+E43)</f>
        <v>257.861583782588</v>
      </c>
      <c r="E44" s="25" t="n">
        <f aca="false">$B$4*(D44-D43)+(1-$B$4)*E43</f>
        <v>0.881862647262873</v>
      </c>
      <c r="F44" s="25" t="n">
        <f aca="false">$B$5*(C44/D44)+(1-$B$5)*F32</f>
        <v>0.961345515476649</v>
      </c>
      <c r="G44" s="27" t="n">
        <f aca="false">(D43+E43)*F32</f>
        <v>235.683393383344</v>
      </c>
      <c r="H44" s="28" t="n">
        <f aca="false">ABS(C44-G44)/C44</f>
        <v>0.0496637363574825</v>
      </c>
      <c r="I44" s="26" t="s">
        <v>68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Data!E38</f>
        <v>280</v>
      </c>
      <c r="D45" s="27" t="n">
        <f aca="false">$B$3*(C45/F33)+(1-$B$3)*(D44+E44)</f>
        <v>260.938053096805</v>
      </c>
      <c r="E45" s="25" t="n">
        <f aca="false">$B$4*(D45-D44)+(1-$B$4)*E44</f>
        <v>0.903808713932418</v>
      </c>
      <c r="F45" s="25" t="n">
        <f aca="false">$B$5*(C45/D45)+(1-$B$5)*F33</f>
        <v>1.07252446892633</v>
      </c>
      <c r="G45" s="27" t="n">
        <f aca="false">(D44+E44)*F33</f>
        <v>264.005444223408</v>
      </c>
      <c r="H45" s="28" t="n">
        <f aca="false">ABS(C45-G45)/C45</f>
        <v>0.0571234134878273</v>
      </c>
      <c r="I45" s="26" t="s">
        <v>68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Data!E39</f>
        <v>293</v>
      </c>
      <c r="D46" s="27" t="n">
        <f aca="false">$B$3*(C46/F34)+(1-$B$3)*(D45+E45)</f>
        <v>258.280713774544</v>
      </c>
      <c r="E46" s="25" t="n">
        <f aca="false">$B$4*(D46-D45)+(1-$B$4)*E45</f>
        <v>0.868197233570484</v>
      </c>
      <c r="F46" s="25" t="n">
        <f aca="false">$B$5*(C46/D46)+(1-$B$5)*F34</f>
        <v>1.13547435176217</v>
      </c>
      <c r="G46" s="27" t="n">
        <f aca="false">(D45+E45)*F34</f>
        <v>324.526284397772</v>
      </c>
      <c r="H46" s="28" t="n">
        <f aca="false">ABS(C46-G46)/C46</f>
        <v>0.107598240265434</v>
      </c>
      <c r="I46" s="26" t="s">
        <v>68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Data!E40</f>
        <v>241</v>
      </c>
      <c r="D47" s="27" t="n">
        <f aca="false">$B$3*(C47/F35)+(1-$B$3)*(D46+E46)</f>
        <v>259.022617842374</v>
      </c>
      <c r="E47" s="25" t="n">
        <f aca="false">$B$4*(D47-D46)+(1-$B$4)*E46</f>
        <v>0.866934301913079</v>
      </c>
      <c r="F47" s="25" t="n">
        <f aca="false">$B$5*(C47/D47)+(1-$B$5)*F35</f>
        <v>0.930448629944394</v>
      </c>
      <c r="G47" s="27" t="n">
        <f aca="false">(D46+E46)*F35</f>
        <v>241.841848377591</v>
      </c>
      <c r="H47" s="28" t="n">
        <f aca="false">ABS(C47-G47)/C47</f>
        <v>0.00349314679498349</v>
      </c>
      <c r="I47" s="26" t="s">
        <v>68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Data!E41</f>
        <v>233</v>
      </c>
      <c r="D48" s="27" t="n">
        <f aca="false">$B$3*(C48/F36)+(1-$B$3)*(D47+E47)</f>
        <v>258.125680731612</v>
      </c>
      <c r="E48" s="25" t="n">
        <f aca="false">$B$4*(D48-D47)+(1-$B$4)*E47</f>
        <v>0.84929558778633</v>
      </c>
      <c r="F48" s="25" t="n">
        <f aca="false">$B$5*(C48/D48)+(1-$B$5)*F36</f>
        <v>0.903056565188443</v>
      </c>
      <c r="G48" s="27" t="n">
        <f aca="false">(D47+E47)*F36</f>
        <v>244.871003304455</v>
      </c>
      <c r="H48" s="28" t="n">
        <f aca="false">ABS(C48-G48)/C48</f>
        <v>0.0509485120362894</v>
      </c>
      <c r="I48" s="26" t="s">
        <v>68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Data!E42</f>
        <v>258</v>
      </c>
      <c r="D49" s="27" t="n">
        <f aca="false">$B$3*(C49/F37)+(1-$B$3)*(D48+E48)</f>
        <v>256.578337011776</v>
      </c>
      <c r="E49" s="25" t="n">
        <f aca="false">$B$4*(D49-D48)+(1-$B$4)*E48</f>
        <v>0.825329194710104</v>
      </c>
      <c r="F49" s="25" t="n">
        <f aca="false">$B$5*(C49/D49)+(1-$B$5)*F37</f>
        <v>1.00615294416586</v>
      </c>
      <c r="G49" s="27" t="n">
        <f aca="false">(D48+E48)*F37</f>
        <v>276.261534137026</v>
      </c>
      <c r="H49" s="28" t="n">
        <f aca="false">ABS(C49-G49)/C49</f>
        <v>0.0707811400659935</v>
      </c>
      <c r="I49" s="26" t="s">
        <v>68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Data!E43</f>
        <v>225</v>
      </c>
      <c r="D50" s="27" t="n">
        <f aca="false">$B$3*(C50/F38)+(1-$B$3)*(D49+E49)</f>
        <v>256.005783601731</v>
      </c>
      <c r="E50" s="25" t="n">
        <f aca="false">$B$4*(D50-D49)+(1-$B$4)*E49</f>
        <v>0.81135036866255</v>
      </c>
      <c r="F50" s="25" t="n">
        <f aca="false">$B$5*(C50/D50)+(1-$B$5)*F38</f>
        <v>0.879191423060832</v>
      </c>
      <c r="G50" s="27" t="n">
        <f aca="false">(D49+E49)*F38</f>
        <v>234.080139140589</v>
      </c>
      <c r="H50" s="28" t="n">
        <f aca="false">ABS(C50-G50)/C50</f>
        <v>0.0403561739581717</v>
      </c>
      <c r="I50" s="26" t="s">
        <v>68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Data!E44</f>
        <v>231</v>
      </c>
      <c r="D51" s="27" t="n">
        <f aca="false">$B$3*(C51/F39)+(1-$B$3)*(D50+E50)</f>
        <v>254.761362237397</v>
      </c>
      <c r="E51" s="25" t="n">
        <f aca="false">$B$4*(D51-D50)+(1-$B$4)*E50</f>
        <v>0.790792651332587</v>
      </c>
      <c r="F51" s="25" t="n">
        <f aca="false">$B$5*(C51/D51)+(1-$B$5)*F39</f>
        <v>0.907203803244406</v>
      </c>
      <c r="G51" s="27" t="n">
        <f aca="false">(D50+E50)*F39</f>
        <v>245.008923429316</v>
      </c>
      <c r="H51" s="28" t="n">
        <f aca="false">ABS(C51-G51)/C51</f>
        <v>0.0606446901701973</v>
      </c>
      <c r="I51" s="26" t="s">
        <v>68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Data!E45</f>
        <v>227</v>
      </c>
      <c r="D52" s="27" t="n">
        <f aca="false">$B$3*(C52/F40)+(1-$B$3)*(D51+E51)</f>
        <v>253.675800513016</v>
      </c>
      <c r="E52" s="25" t="n">
        <f aca="false">$B$4*(D52-D51)+(1-$B$4)*E51</f>
        <v>0.772029107575456</v>
      </c>
      <c r="F52" s="25" t="n">
        <f aca="false">$B$5*(C52/D52)+(1-$B$5)*F40</f>
        <v>0.89526888327346</v>
      </c>
      <c r="G52" s="27" t="n">
        <f aca="false">(D51+E51)*F40</f>
        <v>239.564027766193</v>
      </c>
      <c r="H52" s="28" t="n">
        <f aca="false">ABS(C52-G52)/C52</f>
        <v>0.0553481399391772</v>
      </c>
      <c r="I52" s="26" t="s">
        <v>68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Data!E46</f>
        <v>239</v>
      </c>
      <c r="D53" s="27" t="n">
        <f aca="false">$B$3*(C53/F41)+(1-$B$3)*(D52+E52)</f>
        <v>255.083297017885</v>
      </c>
      <c r="E53" s="25" t="n">
        <f aca="false">$B$4*(D53-D52)+(1-$B$4)*E52</f>
        <v>0.778383781548385</v>
      </c>
      <c r="F53" s="25" t="n">
        <f aca="false">$B$5*(C53/D53)+(1-$B$5)*F41</f>
        <v>0.936807621143704</v>
      </c>
      <c r="G53" s="27" t="n">
        <f aca="false">(D52+E52)*F41</f>
        <v>234.811241025267</v>
      </c>
      <c r="H53" s="28" t="n">
        <f aca="false">ABS(C53-G53)/C53</f>
        <v>0.0175261881787987</v>
      </c>
      <c r="I53" s="26" t="s">
        <v>68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Data!E47</f>
        <v>300</v>
      </c>
      <c r="D54" s="27" t="n">
        <f aca="false">$B$3*(C54/F42)+(1-$B$3)*(D53+E53)</f>
        <v>257.146046428471</v>
      </c>
      <c r="E54" s="25" t="n">
        <f aca="false">$B$4*(D54-D53)+(1-$B$4)*E53</f>
        <v>0.79122743783876</v>
      </c>
      <c r="F54" s="25" t="n">
        <f aca="false">$B$5*(C54/D54)+(1-$B$5)*F42</f>
        <v>1.16630490389713</v>
      </c>
      <c r="G54" s="27" t="n">
        <f aca="false">(D53+E53)*F42</f>
        <v>289.615693870367</v>
      </c>
      <c r="H54" s="28" t="n">
        <f aca="false">ABS(C54-G54)/C54</f>
        <v>0.034614353765445</v>
      </c>
      <c r="I54" s="26" t="s">
        <v>68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Data!E48</f>
        <v>278</v>
      </c>
      <c r="D55" s="27" t="n">
        <f aca="false">$B$3*(C55/F43)+(1-$B$3)*(D54+E54)</f>
        <v>257.669830674221</v>
      </c>
      <c r="E55" s="25" t="n">
        <f aca="false">$B$4*(D55-D54)+(1-$B$4)*E54</f>
        <v>0.788553005917872</v>
      </c>
      <c r="F55" s="25" t="n">
        <f aca="false">$B$5*(C55/D55)+(1-$B$5)*F43</f>
        <v>1.07896930690004</v>
      </c>
      <c r="G55" s="27" t="n">
        <f aca="false">(D54+E54)*F43</f>
        <v>280.074257164354</v>
      </c>
      <c r="H55" s="28" t="n">
        <f aca="false">ABS(C55-G55)/C55</f>
        <v>0.00746135670630765</v>
      </c>
      <c r="I55" s="26" t="s">
        <v>68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Data!E49</f>
        <v>254</v>
      </c>
      <c r="D56" s="27" t="n">
        <f aca="false">$B$3*(C56/F44)+(1-$B$3)*(D55+E55)</f>
        <v>259.264032487125</v>
      </c>
      <c r="E56" s="25" t="n">
        <f aca="false">$B$4*(D56-D55)+(1-$B$4)*E55</f>
        <v>0.796609493987739</v>
      </c>
      <c r="F56" s="25" t="n">
        <f aca="false">$B$5*(C56/D56)+(1-$B$5)*F44</f>
        <v>0.979512741175041</v>
      </c>
      <c r="G56" s="27" t="n">
        <f aca="false">(D55+E55)*F44</f>
        <v>248.467808088244</v>
      </c>
      <c r="H56" s="28" t="n">
        <f aca="false">ABS(C56-G56)/C56</f>
        <v>0.0217802831171491</v>
      </c>
      <c r="I56" s="26" t="s">
        <v>68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Data!E50</f>
        <v>336</v>
      </c>
      <c r="D57" s="27" t="n">
        <f aca="false">$B$3*(C57/F45)+(1-$B$3)*(D56+E56)</f>
        <v>267.511291324227</v>
      </c>
      <c r="E57" s="25" t="n">
        <f aca="false">$B$4*(D57-D56)+(1-$B$4)*E56</f>
        <v>0.871115987418876</v>
      </c>
      <c r="F57" s="25" t="n">
        <f aca="false">$B$5*(C57/D57)+(1-$B$5)*F45</f>
        <v>1.25418677617594</v>
      </c>
      <c r="G57" s="27" t="n">
        <f aca="false">(D56+E56)*F45</f>
        <v>278.921401929434</v>
      </c>
      <c r="H57" s="28" t="n">
        <f aca="false">ABS(C57-G57)/C57</f>
        <v>0.169876779971924</v>
      </c>
      <c r="I57" s="26" t="s">
        <v>68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Data!E51</f>
        <v>266</v>
      </c>
      <c r="D58" s="27" t="n">
        <f aca="false">$B$3*(C58/F46)+(1-$B$3)*(D57+E57)</f>
        <v>263.605736146065</v>
      </c>
      <c r="E58" s="25" t="n">
        <f aca="false">$B$4*(D58-D57)+(1-$B$4)*E57</f>
        <v>0.823349275763071</v>
      </c>
      <c r="F58" s="25" t="n">
        <f aca="false">$B$5*(C58/D58)+(1-$B$5)*F46</f>
        <v>1.01034666171352</v>
      </c>
      <c r="G58" s="27" t="n">
        <f aca="false">(D57+E57)*F46</f>
        <v>304.741339966561</v>
      </c>
      <c r="H58" s="28" t="n">
        <f aca="false">ABS(C58-G58)/C58</f>
        <v>0.145644135212636</v>
      </c>
      <c r="I58" s="26" t="s">
        <v>68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Data!E52</f>
        <v>243</v>
      </c>
      <c r="D59" s="27" t="n">
        <f aca="false">$B$3*(C59/F47)+(1-$B$3)*(D58+E58)</f>
        <v>263.972020710183</v>
      </c>
      <c r="E59" s="25" t="n">
        <f aca="false">$B$4*(D59-D58)+(1-$B$4)*E58</f>
        <v>0.818778628646616</v>
      </c>
      <c r="F59" s="25" t="n">
        <f aca="false">$B$5*(C59/D59)+(1-$B$5)*F47</f>
        <v>0.920651072777729</v>
      </c>
      <c r="G59" s="27" t="n">
        <f aca="false">(D58+E58)*F47</f>
        <v>246.037680248189</v>
      </c>
      <c r="H59" s="28" t="n">
        <f aca="false">ABS(C59-G59)/C59</f>
        <v>0.0125007417620948</v>
      </c>
      <c r="I59" s="26" t="s">
        <v>68</v>
      </c>
    </row>
    <row r="60" customFormat="false" ht="15" hidden="false" customHeight="false" outlineLevel="0" collapsed="false">
      <c r="A60" s="8" t="n">
        <v>49</v>
      </c>
      <c r="B60" s="22" t="n">
        <f aca="false">Data!B53</f>
        <v>45809</v>
      </c>
      <c r="C60" s="23" t="n">
        <f aca="false">Data!E53</f>
        <v>239</v>
      </c>
      <c r="D60" s="27" t="n">
        <f aca="false">$B$3*(C60/F48)+(1-$B$3)*(D59+E59)</f>
        <v>264.772030011555</v>
      </c>
      <c r="E60" s="25" t="n">
        <f aca="false">$B$4*(D60-D59)+(1-$B$4)*E59</f>
        <v>0.818590935373869</v>
      </c>
      <c r="F60" s="25" t="n">
        <f aca="false">$B$5*(C60/D60)+(1-$B$5)*F48</f>
        <v>0.902667253747959</v>
      </c>
      <c r="G60" s="27" t="n">
        <f aca="false">(D59+E59)*F48</f>
        <v>239.121069744425</v>
      </c>
      <c r="H60" s="28" t="n">
        <f aca="false">ABS(C60-G60)/C60</f>
        <v>0.000506567968306273</v>
      </c>
      <c r="I60" s="26" t="s">
        <v>68</v>
      </c>
    </row>
    <row r="61" customFormat="false" ht="15" hidden="false" customHeight="false" outlineLevel="0" collapsed="false">
      <c r="A61" s="8" t="n">
        <v>50</v>
      </c>
      <c r="B61" s="22" t="n">
        <f aca="false">Data!B54</f>
        <v>45839</v>
      </c>
      <c r="C61" s="23" t="n">
        <f aca="false">Data!E54</f>
        <v>277</v>
      </c>
      <c r="D61" s="27" t="n">
        <f aca="false">$B$3*(C61/F49)+(1-$B$3)*(D60+E60)</f>
        <v>266.950782022571</v>
      </c>
      <c r="E61" s="25" t="n">
        <f aca="false">$B$4*(D61-D60)+(1-$B$4)*E60</f>
        <v>0.832192546130293</v>
      </c>
      <c r="F61" s="25" t="n">
        <f aca="false">$B$5*(C61/D61)+(1-$B$5)*F49</f>
        <v>1.03732954462512</v>
      </c>
      <c r="G61" s="27" t="n">
        <f aca="false">(D60+E60)*F49</f>
        <v>267.224785208591</v>
      </c>
      <c r="H61" s="28" t="n">
        <f aca="false">ABS(C61-G61)/C61</f>
        <v>0.0352895840845102</v>
      </c>
      <c r="I61" s="26" t="s">
        <v>68</v>
      </c>
    </row>
    <row r="62" customFormat="false" ht="15" hidden="false" customHeight="false" outlineLevel="0" collapsed="false">
      <c r="A62" s="8" t="n">
        <v>51</v>
      </c>
      <c r="B62" s="22" t="n">
        <f aca="false">Data!B55</f>
        <v>45870</v>
      </c>
      <c r="C62" s="23" t="n">
        <f aca="false">Data!E55</f>
        <v>252</v>
      </c>
      <c r="D62" s="27" t="n">
        <f aca="false">$B$3*(C62/F50)+(1-$B$3)*(D61+E61)</f>
        <v>270.421138126271</v>
      </c>
      <c r="E62" s="25" t="n">
        <f aca="false">$B$4*(D62-D61)+(1-$B$4)*E61</f>
        <v>0.858574181705994</v>
      </c>
      <c r="F62" s="25" t="n">
        <f aca="false">$B$5*(C62/D62)+(1-$B$5)*F50</f>
        <v>0.931352930461178</v>
      </c>
      <c r="G62" s="27" t="n">
        <f aca="false">(D61+E61)*F50</f>
        <v>235.432494482519</v>
      </c>
      <c r="H62" s="28" t="n">
        <f aca="false">ABS(C62-G62)/C62</f>
        <v>0.0657440695138139</v>
      </c>
      <c r="I62" s="26" t="s">
        <v>68</v>
      </c>
    </row>
    <row r="63" customFormat="false" ht="15" hidden="false" customHeight="false" outlineLevel="0" collapsed="false">
      <c r="A63" s="8" t="n">
        <v>52</v>
      </c>
      <c r="B63" s="22" t="n">
        <f aca="false">Data!B56</f>
        <v>45901</v>
      </c>
      <c r="C63" s="23" t="n">
        <f aca="false">Data!E56</f>
        <v>278</v>
      </c>
      <c r="D63" s="27" t="n">
        <f aca="false">$B$3*(C63/F51)+(1-$B$3)*(D62+E62)</f>
        <v>276.20160729915</v>
      </c>
      <c r="E63" s="25" t="n">
        <f aca="false">$B$4*(D63-D62)+(1-$B$4)*E62</f>
        <v>0.907793131617724</v>
      </c>
      <c r="F63" s="25" t="n">
        <f aca="false">$B$5*(C63/D63)+(1-$B$5)*F51</f>
        <v>1.00551808587138</v>
      </c>
      <c r="G63" s="27" t="n">
        <f aca="false">(D62+E62)*F51</f>
        <v>246.105986748845</v>
      </c>
      <c r="H63" s="28" t="n">
        <f aca="false">ABS(C63-G63)/C63</f>
        <v>0.114726666371061</v>
      </c>
      <c r="I63" s="26" t="s">
        <v>68</v>
      </c>
    </row>
    <row r="64" customFormat="false" ht="15" hidden="false" customHeight="false" outlineLevel="0" collapsed="false">
      <c r="A64" s="8" t="n">
        <v>53</v>
      </c>
      <c r="B64" s="22" t="n">
        <f aca="false">Data!B57</f>
        <v>45931</v>
      </c>
      <c r="C64" s="23" t="n">
        <f aca="false">Data!E57</f>
        <v>278</v>
      </c>
      <c r="D64" s="27" t="n">
        <f aca="false">$B$3*(C64/F52)+(1-$B$3)*(D63+E63)</f>
        <v>281.787057381309</v>
      </c>
      <c r="E64" s="25" t="n">
        <f aca="false">$B$4*(D64-D63)+(1-$B$4)*E63</f>
        <v>0.954569701123138</v>
      </c>
      <c r="F64" s="25" t="n">
        <f aca="false">$B$5*(C64/D64)+(1-$B$5)*F52</f>
        <v>0.985647653312871</v>
      </c>
      <c r="G64" s="27" t="n">
        <f aca="false">(D63+E63)*F52</f>
        <v>248.087423468232</v>
      </c>
      <c r="H64" s="28" t="n">
        <f aca="false">ABS(C64-G64)/C64</f>
        <v>0.10759919615744</v>
      </c>
      <c r="I64" s="26" t="s">
        <v>68</v>
      </c>
    </row>
    <row r="65" customFormat="false" ht="15" hidden="false" customHeight="false" outlineLevel="0" collapsed="false">
      <c r="A65" s="8" t="n">
        <v>54</v>
      </c>
      <c r="B65" s="22" t="n">
        <f aca="false">Data!B58</f>
        <v>45962</v>
      </c>
      <c r="C65" s="23" t="n">
        <f aca="false">Data!E58</f>
        <v>278</v>
      </c>
      <c r="D65" s="27" t="n">
        <f aca="false">$B$3*(C65/F53)+(1-$B$3)*(D64+E64)</f>
        <v>284.703148753874</v>
      </c>
      <c r="E65" s="25" t="n">
        <f aca="false">$B$4*(D65-D64)+(1-$B$4)*E64</f>
        <v>0.974184917837553</v>
      </c>
      <c r="F65" s="25" t="n">
        <f aca="false">$B$5*(C65/D65)+(1-$B$5)*F53</f>
        <v>0.9760591760627</v>
      </c>
      <c r="G65" s="27" t="n">
        <f aca="false">(D64+E64)*F53</f>
        <v>264.874511065394</v>
      </c>
      <c r="H65" s="28" t="n">
        <f aca="false">ABS(C65-G65)/C65</f>
        <v>0.0472139889734042</v>
      </c>
      <c r="I65" s="26" t="s">
        <v>68</v>
      </c>
    </row>
    <row r="66" customFormat="false" ht="15" hidden="false" customHeight="false" outlineLevel="0" collapsed="false">
      <c r="A66" s="8" t="n">
        <v>55</v>
      </c>
      <c r="B66" s="22" t="n">
        <f aca="false">Data!B59</f>
        <v>45992</v>
      </c>
      <c r="C66" s="23" t="n">
        <f aca="false">Data!E59</f>
        <v>360</v>
      </c>
      <c r="D66" s="27" t="n">
        <f aca="false">$B$3*(C66/F54)+(1-$B$3)*(D65+E65)</f>
        <v>288.895906671239</v>
      </c>
      <c r="E66" s="25" t="n">
        <f aca="false">$B$4*(D66-D65)+(1-$B$4)*E65</f>
        <v>1.00637064783283</v>
      </c>
      <c r="F66" s="25" t="n">
        <f aca="false">$B$5*(C66/D66)+(1-$B$5)*F54</f>
        <v>1.24532538820662</v>
      </c>
      <c r="G66" s="27" t="n">
        <f aca="false">(D65+E65)*F54</f>
        <v>333.186875193575</v>
      </c>
      <c r="H66" s="28" t="n">
        <f aca="false">ABS(C66-G66)/C66</f>
        <v>0.0744809022400707</v>
      </c>
      <c r="I66" s="26" t="s">
        <v>68</v>
      </c>
    </row>
    <row r="67" customFormat="false" ht="15" hidden="false" customHeight="false" outlineLevel="0" collapsed="false">
      <c r="A67" s="8" t="n">
        <v>56</v>
      </c>
      <c r="B67" s="22" t="n">
        <f aca="false">Data!B60</f>
        <v>46023</v>
      </c>
      <c r="C67" s="23" t="n">
        <f aca="false">Data!E60</f>
        <v>282</v>
      </c>
      <c r="D67" s="27" t="n">
        <f aca="false">$B$3*(C67/F55)+(1-$B$3)*(D66+E66)</f>
        <v>285.906434004246</v>
      </c>
      <c r="E67" s="25" t="n">
        <f aca="false">$B$4*(D67-D66)+(1-$B$4)*E66</f>
        <v>0.966412214684573</v>
      </c>
      <c r="F67" s="25" t="n">
        <f aca="false">$B$5*(C67/D67)+(1-$B$5)*F55</f>
        <v>0.987262996205136</v>
      </c>
      <c r="G67" s="27" t="n">
        <f aca="false">(D66+E66)*F55</f>
        <v>312.795659227701</v>
      </c>
      <c r="H67" s="28" t="n">
        <f aca="false">ABS(C67-G67)/C67</f>
        <v>0.109204465346457</v>
      </c>
      <c r="I67" s="26" t="s">
        <v>68</v>
      </c>
    </row>
    <row r="68" customFormat="false" ht="15" hidden="false" customHeight="false" outlineLevel="0" collapsed="false">
      <c r="A68" s="8" t="n">
        <v>57</v>
      </c>
      <c r="B68" s="22" t="n">
        <f aca="false">Data!B61</f>
        <v>46054</v>
      </c>
      <c r="C68" s="23" t="n">
        <f aca="false">Data!E61</f>
        <v>307</v>
      </c>
      <c r="D68" s="27" t="n">
        <f aca="false">$B$3*(C68/F56)+(1-$B$3)*(D67+E67)</f>
        <v>290.589607350624</v>
      </c>
      <c r="E68" s="25" t="n">
        <f aca="false">$B$4*(D68-D67)+(1-$B$4)*E67</f>
        <v>1.0035798260015</v>
      </c>
      <c r="F68" s="25" t="n">
        <f aca="false">$B$5*(C68/D68)+(1-$B$5)*F56</f>
        <v>1.05570314446372</v>
      </c>
      <c r="G68" s="27" t="n">
        <f aca="false">(D67+E67)*F56</f>
        <v>280.995607968591</v>
      </c>
      <c r="H68" s="28" t="n">
        <f aca="false">ABS(C68-G68)/C68</f>
        <v>0.0847048600371629</v>
      </c>
      <c r="I68" s="26" t="s">
        <v>68</v>
      </c>
    </row>
    <row r="69" customFormat="false" ht="15" hidden="false" customHeight="false" outlineLevel="0" collapsed="false">
      <c r="A69" s="8" t="n">
        <v>58</v>
      </c>
      <c r="B69" s="22" t="n">
        <f aca="false">Data!B62</f>
        <v>46082</v>
      </c>
      <c r="C69" s="23" t="n">
        <f aca="false">Data!E62</f>
        <v>362</v>
      </c>
      <c r="D69" s="27" t="n">
        <f aca="false">$B$3*(C69/F57)+(1-$B$3)*(D68+E68)</f>
        <v>291.17879537864</v>
      </c>
      <c r="E69" s="25" t="n">
        <f aca="false">$B$4*(D69-D68)+(1-$B$4)*E68</f>
        <v>0.999435908021653</v>
      </c>
      <c r="F69" s="25" t="n">
        <f aca="false">$B$5*(C69/D69)+(1-$B$5)*F57</f>
        <v>1.24333204097466</v>
      </c>
      <c r="G69" s="27" t="n">
        <f aca="false">(D68+E68)*F57</f>
        <v>365.712319379918</v>
      </c>
      <c r="H69" s="28" t="n">
        <f aca="false">ABS(C69-G69)/C69</f>
        <v>0.0102550259113745</v>
      </c>
      <c r="I69" s="26" t="s">
        <v>68</v>
      </c>
    </row>
    <row r="70" customFormat="false" ht="15" hidden="false" customHeight="false" outlineLevel="0" collapsed="false">
      <c r="A70" s="8" t="n">
        <v>59</v>
      </c>
      <c r="B70" s="22" t="n">
        <f aca="false">Data!B63</f>
        <v>46113</v>
      </c>
      <c r="C70" s="23" t="n">
        <f aca="false">Data!E63</f>
        <v>270</v>
      </c>
      <c r="D70" s="27" t="n">
        <f aca="false">$B$3*(C70/F58)+(1-$B$3)*(D69+E69)</f>
        <v>288.686180272376</v>
      </c>
      <c r="E70" s="25" t="n">
        <f aca="false">$B$4*(D70-D69)+(1-$B$4)*E69</f>
        <v>0.964515397878788</v>
      </c>
      <c r="F70" s="25" t="n">
        <f aca="false">$B$5*(C70/D70)+(1-$B$5)*F58</f>
        <v>0.93602239958373</v>
      </c>
      <c r="G70" s="27" t="n">
        <f aca="false">(D69+E69)*F58</f>
        <v>295.201300605841</v>
      </c>
      <c r="H70" s="28" t="n">
        <f aca="false">ABS(C70-G70)/C70</f>
        <v>0.0933381503920019</v>
      </c>
      <c r="I70" s="26" t="s">
        <v>68</v>
      </c>
    </row>
    <row r="71" customFormat="false" ht="15" hidden="false" customHeight="false" outlineLevel="0" collapsed="false">
      <c r="A71" s="8" t="n">
        <v>60</v>
      </c>
      <c r="B71" s="22" t="n">
        <f aca="false">Data!B64</f>
        <v>46143</v>
      </c>
      <c r="C71" s="23" t="n">
        <f aca="false">Data!E64</f>
        <v>294</v>
      </c>
      <c r="D71" s="27" t="n">
        <f aca="false">$B$3*(C71/F59)+(1-$B$3)*(D70+E70)</f>
        <v>293.807089764822</v>
      </c>
      <c r="E71" s="25" t="n">
        <f aca="false">$B$4*(D71-D70)+(1-$B$4)*E70</f>
        <v>1.00607933882447</v>
      </c>
      <c r="F71" s="25" t="n">
        <f aca="false">$B$5*(C71/D71)+(1-$B$5)*F59</f>
        <v>0.999856532934453</v>
      </c>
      <c r="G71" s="27" t="n">
        <f aca="false">(D70+E70)*F59</f>
        <v>266.667223699635</v>
      </c>
      <c r="H71" s="28" t="n">
        <f aca="false">ABS(C71-G71)/C71</f>
        <v>0.0929686268719893</v>
      </c>
      <c r="I71" s="26" t="s">
        <v>68</v>
      </c>
    </row>
    <row r="72" customFormat="false" ht="15" hidden="false" customHeight="false" outlineLevel="0" collapsed="false">
      <c r="A72" s="8" t="n">
        <v>61</v>
      </c>
      <c r="B72" s="29" t="n">
        <f aca="false">EDATE(B71,1)</f>
        <v>46174</v>
      </c>
      <c r="D72" s="24"/>
      <c r="E72" s="24"/>
      <c r="F72" s="24"/>
      <c r="G72" s="30" t="n">
        <f aca="false">($D$71+(A72-60)*$E$71)*F60</f>
        <v>266.118193723522</v>
      </c>
      <c r="H72" s="24"/>
      <c r="I72" s="26" t="s">
        <v>77</v>
      </c>
    </row>
    <row r="73" customFormat="false" ht="15" hidden="false" customHeight="false" outlineLevel="0" collapsed="false">
      <c r="A73" s="8" t="n">
        <v>62</v>
      </c>
      <c r="B73" s="29" t="n">
        <f aca="false">EDATE(B72,1)</f>
        <v>46204</v>
      </c>
      <c r="D73" s="24"/>
      <c r="E73" s="24"/>
      <c r="F73" s="24"/>
      <c r="G73" s="30" t="n">
        <f aca="false">($D$71+(A73-60)*$E$71)*F61</f>
        <v>306.862046278175</v>
      </c>
      <c r="H73" s="24"/>
      <c r="I73" s="26" t="s">
        <v>77</v>
      </c>
    </row>
    <row r="74" customFormat="false" ht="15" hidden="false" customHeight="false" outlineLevel="0" collapsed="false">
      <c r="A74" s="8" t="n">
        <v>63</v>
      </c>
      <c r="B74" s="29" t="n">
        <f aca="false">EDATE(B73,1)</f>
        <v>46235</v>
      </c>
      <c r="D74" s="24"/>
      <c r="E74" s="24"/>
      <c r="F74" s="24"/>
      <c r="G74" s="30" t="n">
        <f aca="false">($D$71+(A74-60)*$E$71)*F62</f>
        <v>276.44913886421</v>
      </c>
      <c r="H74" s="24"/>
      <c r="I74" s="26" t="s">
        <v>77</v>
      </c>
    </row>
    <row r="75" customFormat="false" ht="15" hidden="false" customHeight="false" outlineLevel="0" collapsed="false">
      <c r="A75" s="8" t="n">
        <v>64</v>
      </c>
      <c r="B75" s="29" t="n">
        <f aca="false">EDATE(B74,1)</f>
        <v>46266</v>
      </c>
      <c r="D75" s="24"/>
      <c r="E75" s="24"/>
      <c r="F75" s="24"/>
      <c r="G75" s="30" t="n">
        <f aca="false">($D$71+(A75-60)*$E$71)*F63</f>
        <v>299.474866399803</v>
      </c>
      <c r="H75" s="24"/>
      <c r="I75" s="26" t="s">
        <v>77</v>
      </c>
    </row>
    <row r="76" customFormat="false" ht="15" hidden="false" customHeight="false" outlineLevel="0" collapsed="false">
      <c r="A76" s="8" t="n">
        <v>65</v>
      </c>
      <c r="B76" s="29" t="n">
        <f aca="false">EDATE(B75,1)</f>
        <v>46296</v>
      </c>
      <c r="D76" s="24"/>
      <c r="E76" s="24"/>
      <c r="F76" s="24"/>
      <c r="G76" s="30" t="n">
        <f aca="false">($D$71+(A76-60)*$E$71)*F64</f>
        <v>294.548467250176</v>
      </c>
      <c r="H76" s="24"/>
      <c r="I76" s="26" t="s">
        <v>77</v>
      </c>
    </row>
    <row r="77" customFormat="false" ht="15" hidden="false" customHeight="false" outlineLevel="0" collapsed="false">
      <c r="A77" s="8" t="n">
        <v>66</v>
      </c>
      <c r="B77" s="29" t="n">
        <f aca="false">EDATE(B76,1)</f>
        <v>46327</v>
      </c>
      <c r="D77" s="24"/>
      <c r="E77" s="24"/>
      <c r="F77" s="24"/>
      <c r="G77" s="30" t="n">
        <f aca="false">($D$71+(A77-60)*$E$71)*F65</f>
        <v>292.665063780273</v>
      </c>
      <c r="H77" s="24"/>
      <c r="I77" s="26" t="s">
        <v>77</v>
      </c>
    </row>
    <row r="78" customFormat="false" ht="15" hidden="false" customHeight="false" outlineLevel="0" collapsed="false">
      <c r="A78" s="8" t="n">
        <v>67</v>
      </c>
      <c r="B78" s="29" t="n">
        <f aca="false">EDATE(B77,1)</f>
        <v>46357</v>
      </c>
      <c r="D78" s="24"/>
      <c r="E78" s="24"/>
      <c r="F78" s="24"/>
      <c r="G78" s="30" t="n">
        <f aca="false">($D$71+(A78-60)*$E$71)*F66</f>
        <v>374.655701121553</v>
      </c>
      <c r="H78" s="24"/>
      <c r="I78" s="26" t="s">
        <v>77</v>
      </c>
    </row>
    <row r="79" customFormat="false" ht="15" hidden="false" customHeight="false" outlineLevel="0" collapsed="false">
      <c r="A79" s="8" t="n">
        <v>68</v>
      </c>
      <c r="B79" s="29" t="n">
        <f aca="false">EDATE(B78,1)</f>
        <v>46388</v>
      </c>
      <c r="D79" s="24"/>
      <c r="E79" s="24"/>
      <c r="F79" s="24"/>
      <c r="G79" s="30" t="n">
        <f aca="false">($D$71+(A79-60)*$E$71)*F67</f>
        <v>298.010986967273</v>
      </c>
      <c r="H79" s="24"/>
      <c r="I79" s="26" t="s">
        <v>77</v>
      </c>
    </row>
    <row r="80" customFormat="false" ht="15" hidden="false" customHeight="false" outlineLevel="0" collapsed="false">
      <c r="A80" s="8" t="n">
        <v>69</v>
      </c>
      <c r="B80" s="29" t="n">
        <f aca="false">EDATE(B79,1)</f>
        <v>46419</v>
      </c>
      <c r="D80" s="24"/>
      <c r="E80" s="24"/>
      <c r="F80" s="24"/>
      <c r="G80" s="30" t="n">
        <f aca="false">($D$71+(A80-60)*$E$71)*F68</f>
        <v>319.732158624649</v>
      </c>
      <c r="H80" s="24"/>
      <c r="I80" s="26" t="s">
        <v>77</v>
      </c>
    </row>
    <row r="81" customFormat="false" ht="15" hidden="false" customHeight="false" outlineLevel="0" collapsed="false">
      <c r="A81" s="8" t="n">
        <v>70</v>
      </c>
      <c r="B81" s="29" t="n">
        <f aca="false">EDATE(B80,1)</f>
        <v>46447</v>
      </c>
      <c r="D81" s="24"/>
      <c r="E81" s="24"/>
      <c r="F81" s="24"/>
      <c r="G81" s="30" t="n">
        <f aca="false">($D$71+(A81-60)*$E$71)*F69</f>
        <v>377.808675347352</v>
      </c>
      <c r="H81" s="24"/>
      <c r="I81" s="26" t="s">
        <v>77</v>
      </c>
    </row>
    <row r="82" customFormat="false" ht="15" hidden="false" customHeight="false" outlineLevel="0" collapsed="false">
      <c r="A82" s="8" t="n">
        <v>71</v>
      </c>
      <c r="B82" s="29" t="n">
        <f aca="false">EDATE(B81,1)</f>
        <v>46478</v>
      </c>
      <c r="D82" s="24"/>
      <c r="E82" s="24"/>
      <c r="F82" s="24"/>
      <c r="G82" s="30" t="n">
        <f aca="false">($D$71+(A82-60)*$E$71)*F70</f>
        <v>285.36885794226</v>
      </c>
      <c r="H82" s="24"/>
      <c r="I82" s="26" t="s">
        <v>77</v>
      </c>
    </row>
    <row r="83" customFormat="false" ht="15" hidden="false" customHeight="false" outlineLevel="0" collapsed="false">
      <c r="A83" s="8" t="n">
        <v>72</v>
      </c>
      <c r="B83" s="29" t="n">
        <f aca="false">EDATE(B82,1)</f>
        <v>46508</v>
      </c>
      <c r="D83" s="24"/>
      <c r="E83" s="24"/>
      <c r="F83" s="24"/>
      <c r="G83" s="30" t="n">
        <f aca="false">($D$71+(A83-60)*$E$71)*F71</f>
        <v>305.836158118705</v>
      </c>
      <c r="H83" s="24"/>
      <c r="I83" s="2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2" min="3" style="0" width="11"/>
  </cols>
  <sheetData>
    <row r="1" customFormat="false" ht="16.15" hidden="false" customHeight="false" outlineLevel="0" collapsed="false">
      <c r="A1" s="5" t="s">
        <v>80</v>
      </c>
    </row>
    <row r="3" customFormat="false" ht="15" hidden="false" customHeight="false" outlineLevel="0" collapsed="false">
      <c r="A3" s="12" t="s">
        <v>81</v>
      </c>
      <c r="B3" s="17" t="n">
        <f aca="false">SLOPE(AB18:AB53,A18:A53)</f>
        <v>1.24104718028393</v>
      </c>
      <c r="C3" s="6" t="s">
        <v>82</v>
      </c>
    </row>
    <row r="4" customFormat="false" ht="15" hidden="false" customHeight="false" outlineLevel="0" collapsed="false">
      <c r="A4" s="12" t="s">
        <v>83</v>
      </c>
      <c r="B4" s="17" t="n">
        <f aca="false">INTERCEPT(AB18:AB53,A18:A53)</f>
        <v>255.684254822882</v>
      </c>
      <c r="C4" s="6" t="s">
        <v>84</v>
      </c>
    </row>
    <row r="5" customFormat="false" ht="15" hidden="false" customHeight="false" outlineLevel="0" collapsed="false">
      <c r="A5" s="11" t="s">
        <v>57</v>
      </c>
      <c r="B5" s="19" t="n">
        <f aca="false">AVERAGE(AF60:AF71)</f>
        <v>0.0728070047569874</v>
      </c>
      <c r="C5" s="6" t="s">
        <v>85</v>
      </c>
    </row>
    <row r="6" customFormat="false" ht="15" hidden="false" customHeight="false" outlineLevel="0" collapsed="false">
      <c r="A6" s="12" t="s">
        <v>86</v>
      </c>
      <c r="B6" s="15" t="n">
        <v>7</v>
      </c>
      <c r="C6" s="6" t="s">
        <v>87</v>
      </c>
    </row>
    <row r="7" customFormat="false" ht="15" hidden="false" customHeight="false" outlineLevel="0" collapsed="false">
      <c r="A7" s="12" t="s">
        <v>88</v>
      </c>
      <c r="B7" s="31" t="n">
        <f aca="false">B8-6</f>
        <v>42</v>
      </c>
    </row>
    <row r="8" customFormat="false" ht="15" hidden="false" customHeight="false" outlineLevel="0" collapsed="false">
      <c r="A8" s="12" t="s">
        <v>89</v>
      </c>
      <c r="B8" s="15" t="n">
        <v>48</v>
      </c>
    </row>
    <row r="9" customFormat="false" ht="15" hidden="false" customHeight="false" outlineLevel="0" collapsed="false">
      <c r="A9" s="12" t="s">
        <v>58</v>
      </c>
      <c r="B9" s="20" t="n">
        <f aca="false">AVERAGE(AF24:AF59)</f>
        <v>0.041460665349628</v>
      </c>
    </row>
    <row r="10" customFormat="false" ht="15" hidden="false" customHeight="true" outlineLevel="0" collapsed="false">
      <c r="A10" s="32" t="s">
        <v>90</v>
      </c>
      <c r="B10" s="32"/>
      <c r="C10" s="32"/>
      <c r="D10" s="32" t="s">
        <v>91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 t="s">
        <v>92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 t="s">
        <v>64</v>
      </c>
      <c r="AE10" s="32"/>
      <c r="AF10" s="32"/>
    </row>
    <row r="11" customFormat="false" ht="42" hidden="false" customHeight="true" outlineLevel="0" collapsed="false">
      <c r="A11" s="7" t="s">
        <v>21</v>
      </c>
      <c r="B11" s="7" t="s">
        <v>22</v>
      </c>
      <c r="C11" s="7" t="s">
        <v>93</v>
      </c>
      <c r="D11" s="7" t="s">
        <v>94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7" t="s">
        <v>100</v>
      </c>
      <c r="K11" s="7" t="s">
        <v>101</v>
      </c>
      <c r="L11" s="7" t="s">
        <v>102</v>
      </c>
      <c r="M11" s="7" t="s">
        <v>103</v>
      </c>
      <c r="N11" s="7" t="s">
        <v>104</v>
      </c>
      <c r="O11" s="7" t="s">
        <v>105</v>
      </c>
      <c r="P11" s="7" t="s">
        <v>106</v>
      </c>
      <c r="Q11" s="7" t="s">
        <v>107</v>
      </c>
      <c r="R11" s="7" t="s">
        <v>108</v>
      </c>
      <c r="S11" s="7" t="s">
        <v>109</v>
      </c>
      <c r="T11" s="7" t="s">
        <v>110</v>
      </c>
      <c r="U11" s="7" t="s">
        <v>111</v>
      </c>
      <c r="V11" s="7" t="s">
        <v>112</v>
      </c>
      <c r="W11" s="7" t="s">
        <v>113</v>
      </c>
      <c r="X11" s="7" t="s">
        <v>114</v>
      </c>
      <c r="Y11" s="7" t="s">
        <v>115</v>
      </c>
      <c r="Z11" s="7" t="s">
        <v>116</v>
      </c>
      <c r="AA11" s="7" t="s">
        <v>117</v>
      </c>
      <c r="AB11" s="7" t="s">
        <v>118</v>
      </c>
      <c r="AC11" s="7" t="s">
        <v>119</v>
      </c>
      <c r="AD11" s="7" t="s">
        <v>120</v>
      </c>
      <c r="AE11" s="7" t="s">
        <v>64</v>
      </c>
      <c r="AF11" s="7" t="s">
        <v>65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Data!D5</f>
        <v>230</v>
      </c>
      <c r="D12" s="27" t="str">
        <f aca="false">IF(AND($A12&gt;=$B$6,$A12&lt;=$B$7),SUMPRODUCT(Bobot_Filter!$B$4:$B$16,C6:C18),"")</f>
        <v/>
      </c>
      <c r="E12" s="25" t="str">
        <f aca="false">IF(ISNUMBER(D12),C12/D12,"")</f>
        <v/>
      </c>
      <c r="F12" s="25" t="str">
        <f aca="false">IF(AND($A12+(-24)&gt;=1,$A12+(-24)&lt;=$B$8),INDEX($E$12:$E$59,$A12+(-24)),"")</f>
        <v/>
      </c>
      <c r="G12" s="25" t="str">
        <f aca="false">IF(AND($A12+(-12)&gt;=1,$A12+(-12)&lt;=$B$8),INDEX($E$12:$E$59,$A12+(-12)),"")</f>
        <v/>
      </c>
      <c r="H12" s="25" t="str">
        <f aca="false">IF(AND($A12+(0)&gt;=1,$A12+(0)&lt;=$B$8),INDEX($E$12:$E$59,$A12+(0)),"")</f>
        <v/>
      </c>
      <c r="I12" s="25" t="n">
        <f aca="false">IF(AND($A12+(12)&gt;=1,$A12+(12)&lt;=$B$8),INDEX($E$12:$E$59,$A12+(12)),"")</f>
        <v>0.921382685836647</v>
      </c>
      <c r="J12" s="25" t="n">
        <f aca="false">IF(AND($A12+(24)&gt;=1,$A12+(24)&lt;=$B$8),INDEX($E$12:$E$59,$A12+(24)),"")</f>
        <v>0.954525515426232</v>
      </c>
      <c r="K12" s="25" t="n">
        <f aca="false">IF(SUMPRODUCT(Bobot_Filter!$B$38:$F$38,ISNUMBER(F12:J12)*1)&gt;0,SUMPRODUCT(Bobot_Filter!$B$38:$F$38,F12:J12)/SUMPRODUCT(Bobot_Filter!$B$38:$F$38,ISNUMBER(F12:J12)*1),"")</f>
        <v>0.932430295699842</v>
      </c>
      <c r="L12" s="25" t="str">
        <f aca="false">IF(AND($A12&gt;=$B$6,$A12&lt;=$B$7),SUMPRODUCT(Bobot_Filter!$B$4:$B$16,K6:K18),"")</f>
        <v/>
      </c>
      <c r="M12" s="25" t="n">
        <f aca="false">K12/INDEX($L$12:$L$59,MAX($B$6,MIN($A12,$B$7)))</f>
        <v>0.933448436440704</v>
      </c>
      <c r="N12" s="27" t="n">
        <f aca="false">C12/M12</f>
        <v>246.39818443213</v>
      </c>
      <c r="O12" s="27" t="str">
        <f aca="false">IF(AND($A12&gt;=$B$6,$A12&lt;=$B$7),SUMPRODUCT(Bobot_Filter!$B$20:$B$32,N6:N18),"")</f>
        <v/>
      </c>
      <c r="P12" s="25" t="str">
        <f aca="false">IF(ISNUMBER(O12),C12/O12,"")</f>
        <v/>
      </c>
      <c r="Q12" s="25" t="str">
        <f aca="false">IF(AND($A12+(-36)&gt;=1,$A12+(-36)&lt;=$B$8),INDEX($P$12:$P$59,$A12+(-36)),"")</f>
        <v/>
      </c>
      <c r="R12" s="25" t="str">
        <f aca="false">IF(AND($A12+(-24)&gt;=1,$A12+(-24)&lt;=$B$8),INDEX($P$12:$P$59,$A12+(-24)),"")</f>
        <v/>
      </c>
      <c r="S12" s="25" t="str">
        <f aca="false">IF(AND($A12+(-12)&gt;=1,$A12+(-12)&lt;=$B$8),INDEX($P$12:$P$59,$A12+(-12)),"")</f>
        <v/>
      </c>
      <c r="T12" s="25" t="str">
        <f aca="false">IF(AND($A12+(0)&gt;=1,$A12+(0)&lt;=$B$8),INDEX($P$12:$P$59,$A12+(0)),"")</f>
        <v/>
      </c>
      <c r="U12" s="25" t="n">
        <f aca="false">IF(AND($A12+(12)&gt;=1,$A12+(12)&lt;=$B$8),INDEX($P$12:$P$59,$A12+(12)),"")</f>
        <v>0.918819368317907</v>
      </c>
      <c r="V12" s="25" t="n">
        <f aca="false">IF(AND($A12+(24)&gt;=1,$A12+(24)&lt;=$B$8),INDEX($P$12:$P$59,$A12+(24)),"")</f>
        <v>0.941647541825058</v>
      </c>
      <c r="W12" s="25" t="n">
        <f aca="false">IF(AND($A12+(36)&gt;=1,$A12+(36)&lt;=$B$8),INDEX($P$12:$P$59,$A12+(36)),"")</f>
        <v>0.915613253838038</v>
      </c>
      <c r="X12" s="25" t="n">
        <f aca="false">IF(SUMPRODUCT(Bobot_Filter!$B$43:$H$43,ISNUMBER(Q12:W12)*1)&gt;0,SUMPRODUCT(Bobot_Filter!$B$43:$H$43,Q12:W12)/SUMPRODUCT(Bobot_Filter!$B$43:$H$43,ISNUMBER(Q12:W12)*1),"")</f>
        <v>0.925894407073646</v>
      </c>
      <c r="Y12" s="25" t="str">
        <f aca="false">IF(AND($A12&gt;=$B$6,$A12&lt;=$B$7),SUMPRODUCT(Bobot_Filter!$B$4:$B$16,X6:X18),"")</f>
        <v/>
      </c>
      <c r="Z12" s="33" t="n">
        <f aca="false">X12/INDEX($Y$12:$Y$59,MAX($B$6,MIN($A12,$B$7)))</f>
        <v>0.926453764865162</v>
      </c>
      <c r="AA12" s="27" t="n">
        <f aca="false">C12/Z12</f>
        <v>248.258476269968</v>
      </c>
      <c r="AB12" s="27" t="str">
        <f aca="false">IF(AND($A12&gt;=$B$6,$A12&lt;=$B$7),SUMPRODUCT(Bobot_Filter!$B$20:$B$32,AA6:AA18),"")</f>
        <v/>
      </c>
      <c r="AC12" s="25" t="str">
        <f aca="false">IF(ISNUMBER(AB12),AA12/AB12,"")</f>
        <v/>
      </c>
      <c r="AD12" s="27" t="n">
        <f aca="false">$B$4+$B$3*A12</f>
        <v>256.925302003166</v>
      </c>
      <c r="AE12" s="27" t="n">
        <f aca="false">AD12*Z12</f>
        <v>238.029413329952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Data!D6</f>
        <v>268</v>
      </c>
      <c r="D13" s="27" t="str">
        <f aca="false">IF(AND($A13&gt;=$B$6,$A13&lt;=$B$7),SUMPRODUCT(Bobot_Filter!$B$4:$B$16,C7:C19),"")</f>
        <v/>
      </c>
      <c r="E13" s="25" t="str">
        <f aca="false">IF(ISNUMBER(D13),C13/D13,"")</f>
        <v/>
      </c>
      <c r="F13" s="25" t="str">
        <f aca="false">IF(AND($A13+(-24)&gt;=1,$A13+(-24)&lt;=$B$8),INDEX($E$12:$E$59,$A13+(-24)),"")</f>
        <v/>
      </c>
      <c r="G13" s="25" t="str">
        <f aca="false">IF(AND($A13+(-12)&gt;=1,$A13+(-12)&lt;=$B$8),INDEX($E$12:$E$59,$A13+(-12)),"")</f>
        <v/>
      </c>
      <c r="H13" s="25" t="str">
        <f aca="false">IF(AND($A13+(0)&gt;=1,$A13+(0)&lt;=$B$8),INDEX($E$12:$E$59,$A13+(0)),"")</f>
        <v/>
      </c>
      <c r="I13" s="25" t="n">
        <f aca="false">IF(AND($A13+(12)&gt;=1,$A13+(12)&lt;=$B$8),INDEX($E$12:$E$59,$A13+(12)),"")</f>
        <v>1.01558203483043</v>
      </c>
      <c r="J13" s="25" t="n">
        <f aca="false">IF(AND($A13+(24)&gt;=1,$A13+(24)&lt;=$B$8),INDEX($E$12:$E$59,$A13+(24)),"")</f>
        <v>1.11053089643168</v>
      </c>
      <c r="K13" s="25" t="n">
        <f aca="false">IF(SUMPRODUCT(Bobot_Filter!$B$38:$F$38,ISNUMBER(F13:J13)*1)&gt;0,SUMPRODUCT(Bobot_Filter!$B$38:$F$38,F13:J13)/SUMPRODUCT(Bobot_Filter!$B$38:$F$38,ISNUMBER(F13:J13)*1),"")</f>
        <v>1.04723165536418</v>
      </c>
      <c r="L13" s="25" t="str">
        <f aca="false">IF(AND($A13&gt;=$B$6,$A13&lt;=$B$7),SUMPRODUCT(Bobot_Filter!$B$4:$B$16,K7:K19),"")</f>
        <v/>
      </c>
      <c r="M13" s="25" t="n">
        <f aca="false">K13/INDEX($L$12:$L$59,MAX($B$6,MIN($A13,$B$7)))</f>
        <v>1.04837515018451</v>
      </c>
      <c r="N13" s="27" t="n">
        <f aca="false">C13/M13</f>
        <v>255.63368222991</v>
      </c>
      <c r="O13" s="27" t="str">
        <f aca="false">IF(AND($A13&gt;=$B$6,$A13&lt;=$B$7),SUMPRODUCT(Bobot_Filter!$B$20:$B$32,N7:N19),"")</f>
        <v/>
      </c>
      <c r="P13" s="25" t="str">
        <f aca="false">IF(ISNUMBER(O13),C13/O13,"")</f>
        <v/>
      </c>
      <c r="Q13" s="25" t="str">
        <f aca="false">IF(AND($A13+(-36)&gt;=1,$A13+(-36)&lt;=$B$8),INDEX($P$12:$P$59,$A13+(-36)),"")</f>
        <v/>
      </c>
      <c r="R13" s="25" t="str">
        <f aca="false">IF(AND($A13+(-24)&gt;=1,$A13+(-24)&lt;=$B$8),INDEX($P$12:$P$59,$A13+(-24)),"")</f>
        <v/>
      </c>
      <c r="S13" s="25" t="str">
        <f aca="false">IF(AND($A13+(-12)&gt;=1,$A13+(-12)&lt;=$B$8),INDEX($P$12:$P$59,$A13+(-12)),"")</f>
        <v/>
      </c>
      <c r="T13" s="25" t="str">
        <f aca="false">IF(AND($A13+(0)&gt;=1,$A13+(0)&lt;=$B$8),INDEX($P$12:$P$59,$A13+(0)),"")</f>
        <v/>
      </c>
      <c r="U13" s="25" t="n">
        <f aca="false">IF(AND($A13+(12)&gt;=1,$A13+(12)&lt;=$B$8),INDEX($P$12:$P$59,$A13+(12)),"")</f>
        <v>1.01110699819666</v>
      </c>
      <c r="V13" s="25" t="n">
        <f aca="false">IF(AND($A13+(24)&gt;=1,$A13+(24)&lt;=$B$8),INDEX($P$12:$P$59,$A13+(24)),"")</f>
        <v>1.09649805260355</v>
      </c>
      <c r="W13" s="25" t="n">
        <f aca="false">IF(AND($A13+(36)&gt;=1,$A13+(36)&lt;=$B$8),INDEX($P$12:$P$59,$A13+(36)),"")</f>
        <v>1.00599624605475</v>
      </c>
      <c r="X13" s="25" t="n">
        <f aca="false">IF(SUMPRODUCT(Bobot_Filter!$B$43:$H$43,ISNUMBER(Q13:W13)*1)&gt;0,SUMPRODUCT(Bobot_Filter!$B$43:$H$43,Q13:W13)/SUMPRODUCT(Bobot_Filter!$B$43:$H$43,ISNUMBER(Q13:W13)*1),"")</f>
        <v>1.0387188909753</v>
      </c>
      <c r="Y13" s="25" t="str">
        <f aca="false">IF(AND($A13&gt;=$B$6,$A13&lt;=$B$7),SUMPRODUCT(Bobot_Filter!$B$4:$B$16,X7:X19),"")</f>
        <v/>
      </c>
      <c r="Z13" s="33" t="n">
        <f aca="false">X13/INDEX($Y$12:$Y$59,MAX($B$6,MIN($A13,$B$7)))</f>
        <v>1.0393464090815</v>
      </c>
      <c r="AA13" s="27" t="n">
        <f aca="false">C13/Z13</f>
        <v>257.85435698656</v>
      </c>
      <c r="AB13" s="27" t="str">
        <f aca="false">IF(AND($A13&gt;=$B$6,$A13&lt;=$B$7),SUMPRODUCT(Bobot_Filter!$B$20:$B$32,AA7:AA19),"")</f>
        <v/>
      </c>
      <c r="AC13" s="25" t="str">
        <f aca="false">IF(ISNUMBER(AB13),AA13/AB13,"")</f>
        <v/>
      </c>
      <c r="AD13" s="27" t="n">
        <f aca="false">$B$4+$B$3*A13</f>
        <v>258.16634918345</v>
      </c>
      <c r="AE13" s="27" t="n">
        <f aca="false">AD13*Z13</f>
        <v>268.324267969499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Data!D7</f>
        <v>220</v>
      </c>
      <c r="D14" s="27" t="str">
        <f aca="false">IF(AND($A14&gt;=$B$6,$A14&lt;=$B$7),SUMPRODUCT(Bobot_Filter!$B$4:$B$16,C8:C20),"")</f>
        <v/>
      </c>
      <c r="E14" s="25" t="str">
        <f aca="false">IF(ISNUMBER(D14),C14/D14,"")</f>
        <v/>
      </c>
      <c r="F14" s="25" t="str">
        <f aca="false">IF(AND($A14+(-24)&gt;=1,$A14+(-24)&lt;=$B$8),INDEX($E$12:$E$59,$A14+(-24)),"")</f>
        <v/>
      </c>
      <c r="G14" s="25" t="str">
        <f aca="false">IF(AND($A14+(-12)&gt;=1,$A14+(-12)&lt;=$B$8),INDEX($E$12:$E$59,$A14+(-12)),"")</f>
        <v/>
      </c>
      <c r="H14" s="25" t="str">
        <f aca="false">IF(AND($A14+(0)&gt;=1,$A14+(0)&lt;=$B$8),INDEX($E$12:$E$59,$A14+(0)),"")</f>
        <v/>
      </c>
      <c r="I14" s="25" t="n">
        <f aca="false">IF(AND($A14+(12)&gt;=1,$A14+(12)&lt;=$B$8),INDEX($E$12:$E$59,$A14+(12)),"")</f>
        <v>0.93858845096242</v>
      </c>
      <c r="J14" s="25" t="n">
        <f aca="false">IF(AND($A14+(24)&gt;=1,$A14+(24)&lt;=$B$8),INDEX($E$12:$E$59,$A14+(24)),"")</f>
        <v>0.883667621776504</v>
      </c>
      <c r="K14" s="25" t="n">
        <f aca="false">IF(SUMPRODUCT(Bobot_Filter!$B$38:$F$38,ISNUMBER(F14:J14)*1)&gt;0,SUMPRODUCT(Bobot_Filter!$B$38:$F$38,F14:J14)/SUMPRODUCT(Bobot_Filter!$B$38:$F$38,ISNUMBER(F14:J14)*1),"")</f>
        <v>0.920281507900448</v>
      </c>
      <c r="L14" s="25" t="str">
        <f aca="false">IF(AND($A14&gt;=$B$6,$A14&lt;=$B$7),SUMPRODUCT(Bobot_Filter!$B$4:$B$16,K8:K20),"")</f>
        <v/>
      </c>
      <c r="M14" s="25" t="n">
        <f aca="false">K14/INDEX($L$12:$L$59,MAX($B$6,MIN($A14,$B$7)))</f>
        <v>0.921286383118013</v>
      </c>
      <c r="N14" s="27" t="n">
        <f aca="false">C14/M14</f>
        <v>238.79653930782</v>
      </c>
      <c r="O14" s="27" t="str">
        <f aca="false">IF(AND($A14&gt;=$B$6,$A14&lt;=$B$7),SUMPRODUCT(Bobot_Filter!$B$20:$B$32,N8:N20),"")</f>
        <v/>
      </c>
      <c r="P14" s="25" t="str">
        <f aca="false">IF(ISNUMBER(O14),C14/O14,"")</f>
        <v/>
      </c>
      <c r="Q14" s="25" t="str">
        <f aca="false">IF(AND($A14+(-36)&gt;=1,$A14+(-36)&lt;=$B$8),INDEX($P$12:$P$59,$A14+(-36)),"")</f>
        <v/>
      </c>
      <c r="R14" s="25" t="str">
        <f aca="false">IF(AND($A14+(-24)&gt;=1,$A14+(-24)&lt;=$B$8),INDEX($P$12:$P$59,$A14+(-24)),"")</f>
        <v/>
      </c>
      <c r="S14" s="25" t="str">
        <f aca="false">IF(AND($A14+(-12)&gt;=1,$A14+(-12)&lt;=$B$8),INDEX($P$12:$P$59,$A14+(-12)),"")</f>
        <v/>
      </c>
      <c r="T14" s="25" t="str">
        <f aca="false">IF(AND($A14+(0)&gt;=1,$A14+(0)&lt;=$B$8),INDEX($P$12:$P$59,$A14+(0)),"")</f>
        <v/>
      </c>
      <c r="U14" s="25" t="n">
        <f aca="false">IF(AND($A14+(12)&gt;=1,$A14+(12)&lt;=$B$8),INDEX($P$12:$P$59,$A14+(12)),"")</f>
        <v>0.932219330295031</v>
      </c>
      <c r="V14" s="25" t="n">
        <f aca="false">IF(AND($A14+(24)&gt;=1,$A14+(24)&lt;=$B$8),INDEX($P$12:$P$59,$A14+(24)),"")</f>
        <v>0.8810707581458</v>
      </c>
      <c r="W14" s="25" t="n">
        <f aca="false">IF(AND($A14+(36)&gt;=1,$A14+(36)&lt;=$B$8),INDEX($P$12:$P$59,$A14+(36)),"")</f>
        <v>0.948201705867847</v>
      </c>
      <c r="X14" s="25" t="n">
        <f aca="false">IF(SUMPRODUCT(Bobot_Filter!$B$43:$H$43,ISNUMBER(Q14:W14)*1)&gt;0,SUMPRODUCT(Bobot_Filter!$B$43:$H$43,Q14:W14)/SUMPRODUCT(Bobot_Filter!$B$43:$H$43,ISNUMBER(Q14:W14)*1),"")</f>
        <v>0.917833535507423</v>
      </c>
      <c r="Y14" s="25" t="str">
        <f aca="false">IF(AND($A14&gt;=$B$6,$A14&lt;=$B$7),SUMPRODUCT(Bobot_Filter!$B$4:$B$16,X8:X20),"")</f>
        <v/>
      </c>
      <c r="Z14" s="33" t="n">
        <f aca="false">X14/INDEX($Y$12:$Y$59,MAX($B$6,MIN($A14,$B$7)))</f>
        <v>0.918388023508947</v>
      </c>
      <c r="AA14" s="27" t="n">
        <f aca="false">C14/Z14</f>
        <v>239.550162206418</v>
      </c>
      <c r="AB14" s="27" t="str">
        <f aca="false">IF(AND($A14&gt;=$B$6,$A14&lt;=$B$7),SUMPRODUCT(Bobot_Filter!$B$20:$B$32,AA8:AA20),"")</f>
        <v/>
      </c>
      <c r="AC14" s="25" t="str">
        <f aca="false">IF(ISNUMBER(AB14),AA14/AB14,"")</f>
        <v/>
      </c>
      <c r="AD14" s="27" t="n">
        <f aca="false">$B$4+$B$3*A14</f>
        <v>259.407396363734</v>
      </c>
      <c r="AE14" s="27" t="n">
        <f aca="false">AD14*Z14</f>
        <v>238.236646030092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Data!D8</f>
        <v>260</v>
      </c>
      <c r="D15" s="27" t="str">
        <f aca="false">IF(AND($A15&gt;=$B$6,$A15&lt;=$B$7),SUMPRODUCT(Bobot_Filter!$B$4:$B$16,C9:C21),"")</f>
        <v/>
      </c>
      <c r="E15" s="25" t="str">
        <f aca="false">IF(ISNUMBER(D15),C15/D15,"")</f>
        <v/>
      </c>
      <c r="F15" s="25" t="str">
        <f aca="false">IF(AND($A15+(-24)&gt;=1,$A15+(-24)&lt;=$B$8),INDEX($E$12:$E$59,$A15+(-24)),"")</f>
        <v/>
      </c>
      <c r="G15" s="25" t="str">
        <f aca="false">IF(AND($A15+(-12)&gt;=1,$A15+(-12)&lt;=$B$8),INDEX($E$12:$E$59,$A15+(-12)),"")</f>
        <v/>
      </c>
      <c r="H15" s="25" t="str">
        <f aca="false">IF(AND($A15+(0)&gt;=1,$A15+(0)&lt;=$B$8),INDEX($E$12:$E$59,$A15+(0)),"")</f>
        <v/>
      </c>
      <c r="I15" s="25" t="n">
        <f aca="false">IF(AND($A15+(12)&gt;=1,$A15+(12)&lt;=$B$8),INDEX($E$12:$E$59,$A15+(12)),"")</f>
        <v>0.897230210382927</v>
      </c>
      <c r="J15" s="25" t="n">
        <f aca="false">IF(AND($A15+(24)&gt;=1,$A15+(24)&lt;=$B$8),INDEX($E$12:$E$59,$A15+(24)),"")</f>
        <v>0.970725498515062</v>
      </c>
      <c r="K15" s="25" t="n">
        <f aca="false">IF(SUMPRODUCT(Bobot_Filter!$B$38:$F$38,ISNUMBER(F15:J15)*1)&gt;0,SUMPRODUCT(Bobot_Filter!$B$38:$F$38,F15:J15)/SUMPRODUCT(Bobot_Filter!$B$38:$F$38,ISNUMBER(F15:J15)*1),"")</f>
        <v>0.921728639760305</v>
      </c>
      <c r="L15" s="25" t="str">
        <f aca="false">IF(AND($A15&gt;=$B$6,$A15&lt;=$B$7),SUMPRODUCT(Bobot_Filter!$B$4:$B$16,K9:K21),"")</f>
        <v/>
      </c>
      <c r="M15" s="25" t="n">
        <f aca="false">K15/INDEX($L$12:$L$59,MAX($B$6,MIN($A15,$B$7)))</f>
        <v>0.922735095132344</v>
      </c>
      <c r="N15" s="27" t="n">
        <f aca="false">C15/M15</f>
        <v>281.771010305736</v>
      </c>
      <c r="O15" s="27" t="str">
        <f aca="false">IF(AND($A15&gt;=$B$6,$A15&lt;=$B$7),SUMPRODUCT(Bobot_Filter!$B$20:$B$32,N9:N21),"")</f>
        <v/>
      </c>
      <c r="P15" s="25" t="str">
        <f aca="false">IF(ISNUMBER(O15),C15/O15,"")</f>
        <v/>
      </c>
      <c r="Q15" s="25" t="str">
        <f aca="false">IF(AND($A15+(-36)&gt;=1,$A15+(-36)&lt;=$B$8),INDEX($P$12:$P$59,$A15+(-36)),"")</f>
        <v/>
      </c>
      <c r="R15" s="25" t="str">
        <f aca="false">IF(AND($A15+(-24)&gt;=1,$A15+(-24)&lt;=$B$8),INDEX($P$12:$P$59,$A15+(-24)),"")</f>
        <v/>
      </c>
      <c r="S15" s="25" t="str">
        <f aca="false">IF(AND($A15+(-12)&gt;=1,$A15+(-12)&lt;=$B$8),INDEX($P$12:$P$59,$A15+(-12)),"")</f>
        <v/>
      </c>
      <c r="T15" s="25" t="str">
        <f aca="false">IF(AND($A15+(0)&gt;=1,$A15+(0)&lt;=$B$8),INDEX($P$12:$P$59,$A15+(0)),"")</f>
        <v/>
      </c>
      <c r="U15" s="25" t="n">
        <f aca="false">IF(AND($A15+(12)&gt;=1,$A15+(12)&lt;=$B$8),INDEX($P$12:$P$59,$A15+(12)),"")</f>
        <v>0.897936663123171</v>
      </c>
      <c r="V15" s="25" t="n">
        <f aca="false">IF(AND($A15+(24)&gt;=1,$A15+(24)&lt;=$B$8),INDEX($P$12:$P$59,$A15+(24)),"")</f>
        <v>0.97994515085444</v>
      </c>
      <c r="W15" s="25" t="n">
        <f aca="false">IF(AND($A15+(36)&gt;=1,$A15+(36)&lt;=$B$8),INDEX($P$12:$P$59,$A15+(36)),"")</f>
        <v>0.958782532539685</v>
      </c>
      <c r="X15" s="25" t="n">
        <f aca="false">IF(SUMPRODUCT(Bobot_Filter!$B$43:$H$43,ISNUMBER(Q15:W15)*1)&gt;0,SUMPRODUCT(Bobot_Filter!$B$43:$H$43,Q15:W15)/SUMPRODUCT(Bobot_Filter!$B$43:$H$43,ISNUMBER(Q15:W15)*1),"")</f>
        <v>0.935413803936347</v>
      </c>
      <c r="Y15" s="25" t="str">
        <f aca="false">IF(AND($A15&gt;=$B$6,$A15&lt;=$B$7),SUMPRODUCT(Bobot_Filter!$B$4:$B$16,X9:X21),"")</f>
        <v/>
      </c>
      <c r="Z15" s="33" t="n">
        <f aca="false">X15/INDEX($Y$12:$Y$59,MAX($B$6,MIN($A15,$B$7)))</f>
        <v>0.935978912652336</v>
      </c>
      <c r="AA15" s="27" t="n">
        <f aca="false">C15/Z15</f>
        <v>277.784036034768</v>
      </c>
      <c r="AB15" s="27" t="str">
        <f aca="false">IF(AND($A15&gt;=$B$6,$A15&lt;=$B$7),SUMPRODUCT(Bobot_Filter!$B$20:$B$32,AA9:AA21),"")</f>
        <v/>
      </c>
      <c r="AC15" s="25" t="str">
        <f aca="false">IF(ISNUMBER(AB15),AA15/AB15,"")</f>
        <v/>
      </c>
      <c r="AD15" s="27" t="n">
        <f aca="false">$B$4+$B$3*A15</f>
        <v>260.648443544018</v>
      </c>
      <c r="AE15" s="27" t="n">
        <f aca="false">AD15*Z15</f>
        <v>243.961446772854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Data!D9</f>
        <v>252</v>
      </c>
      <c r="D16" s="27" t="str">
        <f aca="false">IF(AND($A16&gt;=$B$6,$A16&lt;=$B$7),SUMPRODUCT(Bobot_Filter!$B$4:$B$16,C10:C22),"")</f>
        <v/>
      </c>
      <c r="E16" s="25" t="str">
        <f aca="false">IF(ISNUMBER(D16),C16/D16,"")</f>
        <v/>
      </c>
      <c r="F16" s="25" t="str">
        <f aca="false">IF(AND($A16+(-24)&gt;=1,$A16+(-24)&lt;=$B$8),INDEX($E$12:$E$59,$A16+(-24)),"")</f>
        <v/>
      </c>
      <c r="G16" s="25" t="str">
        <f aca="false">IF(AND($A16+(-12)&gt;=1,$A16+(-12)&lt;=$B$8),INDEX($E$12:$E$59,$A16+(-12)),"")</f>
        <v/>
      </c>
      <c r="H16" s="25" t="str">
        <f aca="false">IF(AND($A16+(0)&gt;=1,$A16+(0)&lt;=$B$8),INDEX($E$12:$E$59,$A16+(0)),"")</f>
        <v/>
      </c>
      <c r="I16" s="25" t="n">
        <f aca="false">IF(AND($A16+(12)&gt;=1,$A16+(12)&lt;=$B$8),INDEX($E$12:$E$59,$A16+(12)),"")</f>
        <v>0.900360144057623</v>
      </c>
      <c r="J16" s="25" t="n">
        <f aca="false">IF(AND($A16+(24)&gt;=1,$A16+(24)&lt;=$B$8),INDEX($E$12:$E$59,$A16+(24)),"")</f>
        <v>0.85171102661597</v>
      </c>
      <c r="K16" s="25" t="n">
        <f aca="false">IF(SUMPRODUCT(Bobot_Filter!$B$38:$F$38,ISNUMBER(F16:J16)*1)&gt;0,SUMPRODUCT(Bobot_Filter!$B$38:$F$38,F16:J16)/SUMPRODUCT(Bobot_Filter!$B$38:$F$38,ISNUMBER(F16:J16)*1),"")</f>
        <v>0.884143771577072</v>
      </c>
      <c r="L16" s="25" t="str">
        <f aca="false">IF(AND($A16&gt;=$B$6,$A16&lt;=$B$7),SUMPRODUCT(Bobot_Filter!$B$4:$B$16,K10:K22),"")</f>
        <v/>
      </c>
      <c r="M16" s="25" t="n">
        <f aca="false">K16/INDEX($L$12:$L$59,MAX($B$6,MIN($A16,$B$7)))</f>
        <v>0.885109187221301</v>
      </c>
      <c r="N16" s="27" t="n">
        <f aca="false">C16/M16</f>
        <v>284.710636425688</v>
      </c>
      <c r="O16" s="27" t="str">
        <f aca="false">IF(AND($A16&gt;=$B$6,$A16&lt;=$B$7),SUMPRODUCT(Bobot_Filter!$B$20:$B$32,N10:N22),"")</f>
        <v/>
      </c>
      <c r="P16" s="25" t="str">
        <f aca="false">IF(ISNUMBER(O16),C16/O16,"")</f>
        <v/>
      </c>
      <c r="Q16" s="25" t="str">
        <f aca="false">IF(AND($A16+(-36)&gt;=1,$A16+(-36)&lt;=$B$8),INDEX($P$12:$P$59,$A16+(-36)),"")</f>
        <v/>
      </c>
      <c r="R16" s="25" t="str">
        <f aca="false">IF(AND($A16+(-24)&gt;=1,$A16+(-24)&lt;=$B$8),INDEX($P$12:$P$59,$A16+(-24)),"")</f>
        <v/>
      </c>
      <c r="S16" s="25" t="str">
        <f aca="false">IF(AND($A16+(-12)&gt;=1,$A16+(-12)&lt;=$B$8),INDEX($P$12:$P$59,$A16+(-12)),"")</f>
        <v/>
      </c>
      <c r="T16" s="25" t="str">
        <f aca="false">IF(AND($A16+(0)&gt;=1,$A16+(0)&lt;=$B$8),INDEX($P$12:$P$59,$A16+(0)),"")</f>
        <v/>
      </c>
      <c r="U16" s="25" t="n">
        <f aca="false">IF(AND($A16+(12)&gt;=1,$A16+(12)&lt;=$B$8),INDEX($P$12:$P$59,$A16+(12)),"")</f>
        <v>0.907263519279906</v>
      </c>
      <c r="V16" s="25" t="n">
        <f aca="false">IF(AND($A16+(24)&gt;=1,$A16+(24)&lt;=$B$8),INDEX($P$12:$P$59,$A16+(24)),"")</f>
        <v>0.860130735837941</v>
      </c>
      <c r="W16" s="25" t="n">
        <f aca="false">IF(AND($A16+(36)&gt;=1,$A16+(36)&lt;=$B$8),INDEX($P$12:$P$59,$A16+(36)),"")</f>
        <v>0.91930951051305</v>
      </c>
      <c r="X16" s="25" t="n">
        <f aca="false">IF(SUMPRODUCT(Bobot_Filter!$B$43:$H$43,ISNUMBER(Q16:W16)*1)&gt;0,SUMPRODUCT(Bobot_Filter!$B$43:$H$43,Q16:W16)/SUMPRODUCT(Bobot_Filter!$B$43:$H$43,ISNUMBER(Q16:W16)*1),"")</f>
        <v>0.893560256671442</v>
      </c>
      <c r="Y16" s="25" t="str">
        <f aca="false">IF(AND($A16&gt;=$B$6,$A16&lt;=$B$7),SUMPRODUCT(Bobot_Filter!$B$4:$B$16,X10:X22),"")</f>
        <v/>
      </c>
      <c r="Z16" s="33" t="n">
        <f aca="false">X16/INDEX($Y$12:$Y$59,MAX($B$6,MIN($A16,$B$7)))</f>
        <v>0.894100080530339</v>
      </c>
      <c r="AA16" s="27" t="n">
        <f aca="false">C16/Z16</f>
        <v>281.847642660456</v>
      </c>
      <c r="AB16" s="27" t="str">
        <f aca="false">IF(AND($A16&gt;=$B$6,$A16&lt;=$B$7),SUMPRODUCT(Bobot_Filter!$B$20:$B$32,AA10:AA22),"")</f>
        <v/>
      </c>
      <c r="AC16" s="25" t="str">
        <f aca="false">IF(ISNUMBER(AB16),AA16/AB16,"")</f>
        <v/>
      </c>
      <c r="AD16" s="27" t="n">
        <f aca="false">$B$4+$B$3*A16</f>
        <v>261.889490724302</v>
      </c>
      <c r="AE16" s="27" t="n">
        <f aca="false">AD16*Z16</f>
        <v>234.155414746648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Data!D10</f>
        <v>241</v>
      </c>
      <c r="D17" s="27" t="str">
        <f aca="false">IF(AND($A17&gt;=$B$6,$A17&lt;=$B$7),SUMPRODUCT(Bobot_Filter!$B$4:$B$16,C11:C23),"")</f>
        <v/>
      </c>
      <c r="E17" s="25" t="str">
        <f aca="false">IF(ISNUMBER(D17),C17/D17,"")</f>
        <v/>
      </c>
      <c r="F17" s="25" t="str">
        <f aca="false">IF(AND($A17+(-24)&gt;=1,$A17+(-24)&lt;=$B$8),INDEX($E$12:$E$59,$A17+(-24)),"")</f>
        <v/>
      </c>
      <c r="G17" s="25" t="str">
        <f aca="false">IF(AND($A17+(-12)&gt;=1,$A17+(-12)&lt;=$B$8),INDEX($E$12:$E$59,$A17+(-12)),"")</f>
        <v/>
      </c>
      <c r="H17" s="25" t="str">
        <f aca="false">IF(AND($A17+(0)&gt;=1,$A17+(0)&lt;=$B$8),INDEX($E$12:$E$59,$A17+(0)),"")</f>
        <v/>
      </c>
      <c r="I17" s="25" t="n">
        <f aca="false">IF(AND($A17+(12)&gt;=1,$A17+(12)&lt;=$B$8),INDEX($E$12:$E$59,$A17+(12)),"")</f>
        <v>0.953929539295393</v>
      </c>
      <c r="J17" s="25" t="n">
        <f aca="false">IF(AND($A17+(24)&gt;=1,$A17+(24)&lt;=$B$8),INDEX($E$12:$E$59,$A17+(24)),"")</f>
        <v>0.920214265576544</v>
      </c>
      <c r="K17" s="25" t="n">
        <f aca="false">IF(SUMPRODUCT(Bobot_Filter!$B$38:$F$38,ISNUMBER(F17:J17)*1)&gt;0,SUMPRODUCT(Bobot_Filter!$B$38:$F$38,F17:J17)/SUMPRODUCT(Bobot_Filter!$B$38:$F$38,ISNUMBER(F17:J17)*1),"")</f>
        <v>0.942691114722443</v>
      </c>
      <c r="L17" s="25" t="str">
        <f aca="false">IF(AND($A17&gt;=$B$6,$A17&lt;=$B$7),SUMPRODUCT(Bobot_Filter!$B$4:$B$16,K11:K23),"")</f>
        <v/>
      </c>
      <c r="M17" s="25" t="n">
        <f aca="false">K17/INDEX($L$12:$L$59,MAX($B$6,MIN($A17,$B$7)))</f>
        <v>0.943720459472795</v>
      </c>
      <c r="N17" s="27" t="n">
        <f aca="false">C17/M17</f>
        <v>255.372231873233</v>
      </c>
      <c r="O17" s="27" t="str">
        <f aca="false">IF(AND($A17&gt;=$B$6,$A17&lt;=$B$7),SUMPRODUCT(Bobot_Filter!$B$20:$B$32,N11:N23),"")</f>
        <v/>
      </c>
      <c r="P17" s="25" t="str">
        <f aca="false">IF(ISNUMBER(O17),C17/O17,"")</f>
        <v/>
      </c>
      <c r="Q17" s="25" t="str">
        <f aca="false">IF(AND($A17+(-36)&gt;=1,$A17+(-36)&lt;=$B$8),INDEX($P$12:$P$59,$A17+(-36)),"")</f>
        <v/>
      </c>
      <c r="R17" s="25" t="str">
        <f aca="false">IF(AND($A17+(-24)&gt;=1,$A17+(-24)&lt;=$B$8),INDEX($P$12:$P$59,$A17+(-24)),"")</f>
        <v/>
      </c>
      <c r="S17" s="25" t="str">
        <f aca="false">IF(AND($A17+(-12)&gt;=1,$A17+(-12)&lt;=$B$8),INDEX($P$12:$P$59,$A17+(-12)),"")</f>
        <v/>
      </c>
      <c r="T17" s="25" t="str">
        <f aca="false">IF(AND($A17+(0)&gt;=1,$A17+(0)&lt;=$B$8),INDEX($P$12:$P$59,$A17+(0)),"")</f>
        <v/>
      </c>
      <c r="U17" s="25" t="n">
        <f aca="false">IF(AND($A17+(12)&gt;=1,$A17+(12)&lt;=$B$8),INDEX($P$12:$P$59,$A17+(12)),"")</f>
        <v>0.954025706216977</v>
      </c>
      <c r="V17" s="25" t="n">
        <f aca="false">IF(AND($A17+(24)&gt;=1,$A17+(24)&lt;=$B$8),INDEX($P$12:$P$59,$A17+(24)),"")</f>
        <v>0.921208200096558</v>
      </c>
      <c r="W17" s="25" t="n">
        <f aca="false">IF(AND($A17+(36)&gt;=1,$A17+(36)&lt;=$B$8),INDEX($P$12:$P$59,$A17+(36)),"")</f>
        <v>0.877695447769508</v>
      </c>
      <c r="X17" s="25" t="n">
        <f aca="false">IF(SUMPRODUCT(Bobot_Filter!$B$43:$H$43,ISNUMBER(Q17:W17)*1)&gt;0,SUMPRODUCT(Bobot_Filter!$B$43:$H$43,Q17:W17)/SUMPRODUCT(Bobot_Filter!$B$43:$H$43,ISNUMBER(Q17:W17)*1),"")</f>
        <v>0.930364827768926</v>
      </c>
      <c r="Y17" s="25" t="str">
        <f aca="false">IF(AND($A17&gt;=$B$6,$A17&lt;=$B$7),SUMPRODUCT(Bobot_Filter!$B$4:$B$16,X11:X23),"")</f>
        <v/>
      </c>
      <c r="Z17" s="33" t="n">
        <f aca="false">X17/INDEX($Y$12:$Y$59,MAX($B$6,MIN($A17,$B$7)))</f>
        <v>0.930926886262193</v>
      </c>
      <c r="AA17" s="27" t="n">
        <f aca="false">C17/Z17</f>
        <v>258.881769939689</v>
      </c>
      <c r="AB17" s="27" t="str">
        <f aca="false">IF(AND($A17&gt;=$B$6,$A17&lt;=$B$7),SUMPRODUCT(Bobot_Filter!$B$20:$B$32,AA11:AA23),"")</f>
        <v/>
      </c>
      <c r="AC17" s="25" t="str">
        <f aca="false">IF(ISNUMBER(AB17),AA17/AB17,"")</f>
        <v/>
      </c>
      <c r="AD17" s="27" t="n">
        <f aca="false">$B$4+$B$3*A17</f>
        <v>263.130537904586</v>
      </c>
      <c r="AE17" s="27" t="n">
        <f aca="false">AD17*Z17</f>
        <v>244.955292332012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Data!D11</f>
        <v>302</v>
      </c>
      <c r="D18" s="27" t="n">
        <f aca="false">IF(AND($A18&gt;=$B$6,$A18&lt;=$B$7),SUMPRODUCT(Bobot_Filter!$B$4:$B$16,C12:C24),"")</f>
        <v>266.375</v>
      </c>
      <c r="E18" s="25" t="n">
        <f aca="false">IF(ISNUMBER(D18),C18/D18,"")</f>
        <v>1.1337400281558</v>
      </c>
      <c r="F18" s="25" t="str">
        <f aca="false">IF(AND($A18+(-24)&gt;=1,$A18+(-24)&lt;=$B$8),INDEX($E$12:$E$59,$A18+(-24)),"")</f>
        <v/>
      </c>
      <c r="G18" s="25" t="str">
        <f aca="false">IF(AND($A18+(-12)&gt;=1,$A18+(-12)&lt;=$B$8),INDEX($E$12:$E$59,$A18+(-12)),"")</f>
        <v/>
      </c>
      <c r="H18" s="25" t="n">
        <f aca="false">IF(AND($A18+(0)&gt;=1,$A18+(0)&lt;=$B$8),INDEX($E$12:$E$59,$A18+(0)),"")</f>
        <v>1.1337400281558</v>
      </c>
      <c r="I18" s="25" t="n">
        <f aca="false">IF(AND($A18+(12)&gt;=1,$A18+(12)&lt;=$B$8),INDEX($E$12:$E$59,$A18+(12)),"")</f>
        <v>1.15749811605124</v>
      </c>
      <c r="J18" s="25" t="n">
        <f aca="false">IF(AND($A18+(24)&gt;=1,$A18+(24)&lt;=$B$8),INDEX($E$12:$E$59,$A18+(24)),"")</f>
        <v>1.07588532883643</v>
      </c>
      <c r="K18" s="25" t="n">
        <f aca="false">IF(SUMPRODUCT(Bobot_Filter!$B$38:$F$38,ISNUMBER(F18:J18)*1)&gt;0,SUMPRODUCT(Bobot_Filter!$B$38:$F$38,F18:J18)/SUMPRODUCT(Bobot_Filter!$B$38:$F$38,ISNUMBER(F18:J18)*1),"")</f>
        <v>1.13201694090105</v>
      </c>
      <c r="L18" s="25" t="n">
        <f aca="false">IF(AND($A18&gt;=$B$6,$A18&lt;=$B$7),SUMPRODUCT(Bobot_Filter!$B$4:$B$16,K12:K24),"")</f>
        <v>0.998909269434588</v>
      </c>
      <c r="M18" s="25" t="n">
        <f aca="false">K18/INDEX($L$12:$L$59,MAX($B$6,MIN($A18,$B$7)))</f>
        <v>1.13325301460242</v>
      </c>
      <c r="N18" s="27" t="n">
        <f aca="false">C18/M18</f>
        <v>266.489474202679</v>
      </c>
      <c r="O18" s="27" t="n">
        <f aca="false">IF(AND($A18&gt;=$B$6,$A18&lt;=$B$7),SUMPRODUCT(Bobot_Filter!$B$20:$B$32,N12:N24),"")</f>
        <v>267.441862508488</v>
      </c>
      <c r="P18" s="25" t="n">
        <f aca="false">IF(ISNUMBER(O18),C18/O18,"")</f>
        <v>1.12921738267664</v>
      </c>
      <c r="Q18" s="25" t="str">
        <f aca="false">IF(AND($A18+(-36)&gt;=1,$A18+(-36)&lt;=$B$8),INDEX($P$12:$P$59,$A18+(-36)),"")</f>
        <v/>
      </c>
      <c r="R18" s="25" t="str">
        <f aca="false">IF(AND($A18+(-24)&gt;=1,$A18+(-24)&lt;=$B$8),INDEX($P$12:$P$59,$A18+(-24)),"")</f>
        <v/>
      </c>
      <c r="S18" s="25" t="str">
        <f aca="false">IF(AND($A18+(-12)&gt;=1,$A18+(-12)&lt;=$B$8),INDEX($P$12:$P$59,$A18+(-12)),"")</f>
        <v/>
      </c>
      <c r="T18" s="25" t="n">
        <f aca="false">IF(AND($A18+(0)&gt;=1,$A18+(0)&lt;=$B$8),INDEX($P$12:$P$59,$A18+(0)),"")</f>
        <v>1.12921738267664</v>
      </c>
      <c r="U18" s="25" t="n">
        <f aca="false">IF(AND($A18+(12)&gt;=1,$A18+(12)&lt;=$B$8),INDEX($P$12:$P$59,$A18+(12)),"")</f>
        <v>1.15456774416871</v>
      </c>
      <c r="V18" s="25" t="n">
        <f aca="false">IF(AND($A18+(24)&gt;=1,$A18+(24)&lt;=$B$8),INDEX($P$12:$P$59,$A18+(24)),"")</f>
        <v>1.06954908088927</v>
      </c>
      <c r="W18" s="25" t="str">
        <f aca="false">IF(AND($A18+(36)&gt;=1,$A18+(36)&lt;=$B$8),INDEX($P$12:$P$59,$A18+(36)),"")</f>
        <v/>
      </c>
      <c r="X18" s="25" t="n">
        <f aca="false">IF(SUMPRODUCT(Bobot_Filter!$B$43:$H$43,ISNUMBER(Q18:W18)*1)&gt;0,SUMPRODUCT(Bobot_Filter!$B$43:$H$43,Q18:W18)/SUMPRODUCT(Bobot_Filter!$B$43:$H$43,ISNUMBER(Q18:W18)*1),"")</f>
        <v>1.12380669278932</v>
      </c>
      <c r="Y18" s="25" t="n">
        <f aca="false">IF(AND($A18&gt;=$B$6,$A18&lt;=$B$7),SUMPRODUCT(Bobot_Filter!$B$4:$B$16,X12:X24),"")</f>
        <v>0.999396237769515</v>
      </c>
      <c r="Z18" s="33" t="n">
        <f aca="false">X18/INDEX($Y$12:$Y$59,MAX($B$6,MIN($A18,$B$7)))</f>
        <v>1.12448561473222</v>
      </c>
      <c r="AA18" s="27" t="n">
        <f aca="false">C18/Z18</f>
        <v>268.56724180675</v>
      </c>
      <c r="AB18" s="27" t="n">
        <f aca="false">IF(AND($A18&gt;=$B$6,$A18&lt;=$B$7),SUMPRODUCT(Bobot_Filter!$B$20:$B$32,AA12:AA24),"")</f>
        <v>266.840122381987</v>
      </c>
      <c r="AC18" s="25" t="n">
        <f aca="false">IF(ISNUMBER(AB18),AA18/AB18,"")</f>
        <v>1.00647248775539</v>
      </c>
      <c r="AD18" s="27" t="n">
        <f aca="false">$B$4+$B$3*A18</f>
        <v>264.371585084869</v>
      </c>
      <c r="AE18" s="27" t="n">
        <f aca="false">AD18*Z18</f>
        <v>297.282044371891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Data!D12</f>
        <v>288</v>
      </c>
      <c r="D19" s="27" t="n">
        <f aca="false">IF(AND($A19&gt;=$B$6,$A19&lt;=$B$7),SUMPRODUCT(Bobot_Filter!$B$4:$B$16,C13:C25),"")</f>
        <v>267.625</v>
      </c>
      <c r="E19" s="25" t="n">
        <f aca="false">IF(ISNUMBER(D19),C19/D19,"")</f>
        <v>1.07613264829519</v>
      </c>
      <c r="F19" s="25" t="str">
        <f aca="false">IF(AND($A19+(-24)&gt;=1,$A19+(-24)&lt;=$B$8),INDEX($E$12:$E$59,$A19+(-24)),"")</f>
        <v/>
      </c>
      <c r="G19" s="25" t="str">
        <f aca="false">IF(AND($A19+(-12)&gt;=1,$A19+(-12)&lt;=$B$8),INDEX($E$12:$E$59,$A19+(-12)),"")</f>
        <v/>
      </c>
      <c r="H19" s="25" t="n">
        <f aca="false">IF(AND($A19+(0)&gt;=1,$A19+(0)&lt;=$B$8),INDEX($E$12:$E$59,$A19+(0)),"")</f>
        <v>1.07613264829519</v>
      </c>
      <c r="I19" s="25" t="n">
        <f aca="false">IF(AND($A19+(12)&gt;=1,$A19+(12)&lt;=$B$8),INDEX($E$12:$E$59,$A19+(12)),"")</f>
        <v>0.996118244252016</v>
      </c>
      <c r="J19" s="25" t="n">
        <f aca="false">IF(AND($A19+(24)&gt;=1,$A19+(24)&lt;=$B$8),INDEX($E$12:$E$59,$A19+(24)),"")</f>
        <v>1.12996898787708</v>
      </c>
      <c r="K19" s="25" t="n">
        <f aca="false">IF(SUMPRODUCT(Bobot_Filter!$B$38:$F$38,ISNUMBER(F19:J19)*1)&gt;0,SUMPRODUCT(Bobot_Filter!$B$38:$F$38,F19:J19)/SUMPRODUCT(Bobot_Filter!$B$38:$F$38,ISNUMBER(F19:J19)*1),"")</f>
        <v>1.05843390354445</v>
      </c>
      <c r="L19" s="25" t="n">
        <f aca="false">IF(AND($A19&gt;=$B$6,$A19&lt;=$B$7),SUMPRODUCT(Bobot_Filter!$B$4:$B$16,K13:K25),"")</f>
        <v>0.998528775000724</v>
      </c>
      <c r="M19" s="25" t="n">
        <f aca="false">K19/INDEX($L$12:$L$59,MAX($B$6,MIN($A19,$B$7)))</f>
        <v>1.0599933923223</v>
      </c>
      <c r="N19" s="27" t="n">
        <f aca="false">C19/M19</f>
        <v>271.699806891279</v>
      </c>
      <c r="O19" s="27" t="n">
        <f aca="false">IF(AND($A19&gt;=$B$6,$A19&lt;=$B$7),SUMPRODUCT(Bobot_Filter!$B$20:$B$32,N13:N25),"")</f>
        <v>265.850451442989</v>
      </c>
      <c r="P19" s="25" t="n">
        <f aca="false">IF(ISNUMBER(O19),C19/O19,"")</f>
        <v>1.08331582074353</v>
      </c>
      <c r="Q19" s="25" t="str">
        <f aca="false">IF(AND($A19+(-36)&gt;=1,$A19+(-36)&lt;=$B$8),INDEX($P$12:$P$59,$A19+(-36)),"")</f>
        <v/>
      </c>
      <c r="R19" s="25" t="str">
        <f aca="false">IF(AND($A19+(-24)&gt;=1,$A19+(-24)&lt;=$B$8),INDEX($P$12:$P$59,$A19+(-24)),"")</f>
        <v/>
      </c>
      <c r="S19" s="25" t="str">
        <f aca="false">IF(AND($A19+(-12)&gt;=1,$A19+(-12)&lt;=$B$8),INDEX($P$12:$P$59,$A19+(-12)),"")</f>
        <v/>
      </c>
      <c r="T19" s="25" t="n">
        <f aca="false">IF(AND($A19+(0)&gt;=1,$A19+(0)&lt;=$B$8),INDEX($P$12:$P$59,$A19+(0)),"")</f>
        <v>1.08331582074353</v>
      </c>
      <c r="U19" s="25" t="n">
        <f aca="false">IF(AND($A19+(12)&gt;=1,$A19+(12)&lt;=$B$8),INDEX($P$12:$P$59,$A19+(12)),"")</f>
        <v>1.00491034485507</v>
      </c>
      <c r="V19" s="25" t="n">
        <f aca="false">IF(AND($A19+(24)&gt;=1,$A19+(24)&lt;=$B$8),INDEX($P$12:$P$59,$A19+(24)),"")</f>
        <v>1.10837712003128</v>
      </c>
      <c r="W19" s="25" t="str">
        <f aca="false">IF(AND($A19+(36)&gt;=1,$A19+(36)&lt;=$B$8),INDEX($P$12:$P$59,$A19+(36)),"")</f>
        <v/>
      </c>
      <c r="X19" s="25" t="n">
        <f aca="false">IF(SUMPRODUCT(Bobot_Filter!$B$43:$H$43,ISNUMBER(Q19:W19)*1)&gt;0,SUMPRODUCT(Bobot_Filter!$B$43:$H$43,Q19:W19)/SUMPRODUCT(Bobot_Filter!$B$43:$H$43,ISNUMBER(Q19:W19)*1),"")</f>
        <v>1.0601790921073</v>
      </c>
      <c r="Y19" s="25" t="n">
        <f aca="false">IF(AND($A19&gt;=$B$6,$A19&lt;=$B$7),SUMPRODUCT(Bobot_Filter!$B$4:$B$16,X13:X25),"")</f>
        <v>0.999555240364429</v>
      </c>
      <c r="Z19" s="33" t="n">
        <f aca="false">X19/INDEX($Y$12:$Y$59,MAX($B$6,MIN($A19,$B$7)))</f>
        <v>1.06065082678248</v>
      </c>
      <c r="AA19" s="27" t="n">
        <f aca="false">C19/Z19</f>
        <v>271.53139631603</v>
      </c>
      <c r="AB19" s="27" t="n">
        <f aca="false">IF(AND($A19&gt;=$B$6,$A19&lt;=$B$7),SUMPRODUCT(Bobot_Filter!$B$20:$B$32,AA13:AA25),"")</f>
        <v>264.999315111769</v>
      </c>
      <c r="AC19" s="25" t="n">
        <f aca="false">IF(ISNUMBER(AB19),AA19/AB19,"")</f>
        <v>1.02464942674099</v>
      </c>
      <c r="AD19" s="27" t="n">
        <f aca="false">$B$4+$B$3*A19</f>
        <v>265.612632265153</v>
      </c>
      <c r="AE19" s="27" t="n">
        <f aca="false">AD19*Z19</f>
        <v>281.722258015907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Data!D13</f>
        <v>244</v>
      </c>
      <c r="D20" s="27" t="n">
        <f aca="false">IF(AND($A20&gt;=$B$6,$A20&lt;=$B$7),SUMPRODUCT(Bobot_Filter!$B$4:$B$16,C14:C26),"")</f>
        <v>269.5</v>
      </c>
      <c r="E20" s="25" t="n">
        <f aca="false">IF(ISNUMBER(D20),C20/D20,"")</f>
        <v>0.905380333951763</v>
      </c>
      <c r="F20" s="25" t="str">
        <f aca="false">IF(AND($A20+(-24)&gt;=1,$A20+(-24)&lt;=$B$8),INDEX($E$12:$E$59,$A20+(-24)),"")</f>
        <v/>
      </c>
      <c r="G20" s="25" t="str">
        <f aca="false">IF(AND($A20+(-12)&gt;=1,$A20+(-12)&lt;=$B$8),INDEX($E$12:$E$59,$A20+(-12)),"")</f>
        <v/>
      </c>
      <c r="H20" s="25" t="n">
        <f aca="false">IF(AND($A20+(0)&gt;=1,$A20+(0)&lt;=$B$8),INDEX($E$12:$E$59,$A20+(0)),"")</f>
        <v>0.905380333951763</v>
      </c>
      <c r="I20" s="25" t="n">
        <f aca="false">IF(AND($A20+(12)&gt;=1,$A20+(12)&lt;=$B$8),INDEX($E$12:$E$59,$A20+(12)),"")</f>
        <v>0.904316866933689</v>
      </c>
      <c r="J20" s="25" t="n">
        <f aca="false">IF(AND($A20+(24)&gt;=1,$A20+(24)&lt;=$B$8),INDEX($E$12:$E$59,$A20+(24)),"")</f>
        <v>0.959594537519358</v>
      </c>
      <c r="K20" s="25" t="n">
        <f aca="false">IF(SUMPRODUCT(Bobot_Filter!$B$38:$F$38,ISNUMBER(F20:J20)*1)&gt;0,SUMPRODUCT(Bobot_Filter!$B$38:$F$38,F20:J20)/SUMPRODUCT(Bobot_Filter!$B$38:$F$38,ISNUMBER(F20:J20)*1),"")</f>
        <v>0.914061545540337</v>
      </c>
      <c r="L20" s="25" t="n">
        <f aca="false">IF(AND($A20&gt;=$B$6,$A20&lt;=$B$7),SUMPRODUCT(Bobot_Filter!$B$4:$B$16,K14:K26),"")</f>
        <v>0.998336922957483</v>
      </c>
      <c r="M20" s="25" t="n">
        <f aca="false">K20/INDEX($L$12:$L$59,MAX($B$6,MIN($A20,$B$7)))</f>
        <v>0.915584232658162</v>
      </c>
      <c r="N20" s="27" t="n">
        <f aca="false">C20/M20</f>
        <v>266.496507144525</v>
      </c>
      <c r="O20" s="27" t="n">
        <f aca="false">IF(AND($A20&gt;=$B$6,$A20&lt;=$B$7),SUMPRODUCT(Bobot_Filter!$B$20:$B$32,N14:N26),"")</f>
        <v>265.611665153123</v>
      </c>
      <c r="P20" s="25" t="n">
        <f aca="false">IF(ISNUMBER(O20),C20/O20,"")</f>
        <v>0.918634352370541</v>
      </c>
      <c r="Q20" s="25" t="str">
        <f aca="false">IF(AND($A20+(-36)&gt;=1,$A20+(-36)&lt;=$B$8),INDEX($P$12:$P$59,$A20+(-36)),"")</f>
        <v/>
      </c>
      <c r="R20" s="25" t="str">
        <f aca="false">IF(AND($A20+(-24)&gt;=1,$A20+(-24)&lt;=$B$8),INDEX($P$12:$P$59,$A20+(-24)),"")</f>
        <v/>
      </c>
      <c r="S20" s="25" t="str">
        <f aca="false">IF(AND($A20+(-12)&gt;=1,$A20+(-12)&lt;=$B$8),INDEX($P$12:$P$59,$A20+(-12)),"")</f>
        <v/>
      </c>
      <c r="T20" s="25" t="n">
        <f aca="false">IF(AND($A20+(0)&gt;=1,$A20+(0)&lt;=$B$8),INDEX($P$12:$P$59,$A20+(0)),"")</f>
        <v>0.918634352370541</v>
      </c>
      <c r="U20" s="25" t="n">
        <f aca="false">IF(AND($A20+(12)&gt;=1,$A20+(12)&lt;=$B$8),INDEX($P$12:$P$59,$A20+(12)),"")</f>
        <v>0.917235558583183</v>
      </c>
      <c r="V20" s="25" t="n">
        <f aca="false">IF(AND($A20+(24)&gt;=1,$A20+(24)&lt;=$B$8),INDEX($P$12:$P$59,$A20+(24)),"")</f>
        <v>0.939439210622214</v>
      </c>
      <c r="W20" s="25" t="str">
        <f aca="false">IF(AND($A20+(36)&gt;=1,$A20+(36)&lt;=$B$8),INDEX($P$12:$P$59,$A20+(36)),"")</f>
        <v/>
      </c>
      <c r="X20" s="25" t="n">
        <f aca="false">IF(SUMPRODUCT(Bobot_Filter!$B$43:$H$43,ISNUMBER(Q20:W20)*1)&gt;0,SUMPRODUCT(Bobot_Filter!$B$43:$H$43,Q20:W20)/SUMPRODUCT(Bobot_Filter!$B$43:$H$43,ISNUMBER(Q20:W20)*1),"")</f>
        <v>0.9233110192632</v>
      </c>
      <c r="Y20" s="25" t="n">
        <f aca="false">IF(AND($A20&gt;=$B$6,$A20&lt;=$B$7),SUMPRODUCT(Bobot_Filter!$B$4:$B$16,X14:X26),"")</f>
        <v>0.999652437810817</v>
      </c>
      <c r="Z20" s="33" t="n">
        <f aca="false">X20/INDEX($Y$12:$Y$59,MAX($B$6,MIN($A20,$B$7)))</f>
        <v>0.923632038836618</v>
      </c>
      <c r="AA20" s="27" t="n">
        <f aca="false">C20/Z20</f>
        <v>264.174465306916</v>
      </c>
      <c r="AB20" s="27" t="n">
        <f aca="false">IF(AND($A20&gt;=$B$6,$A20&lt;=$B$7),SUMPRODUCT(Bobot_Filter!$B$20:$B$32,AA14:AA26),"")</f>
        <v>264.663572581546</v>
      </c>
      <c r="AC20" s="25" t="n">
        <f aca="false">IF(ISNUMBER(AB20),AA20/AB20,"")</f>
        <v>0.998151966022903</v>
      </c>
      <c r="AD20" s="27" t="n">
        <f aca="false">$B$4+$B$3*A20</f>
        <v>266.853679445437</v>
      </c>
      <c r="AE20" s="27" t="n">
        <f aca="false">AD20*Z20</f>
        <v>246.474608017242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Data!D14</f>
        <v>246</v>
      </c>
      <c r="D21" s="27" t="n">
        <f aca="false">IF(AND($A21&gt;=$B$6,$A21&lt;=$B$7),SUMPRODUCT(Bobot_Filter!$B$4:$B$16,C15:C27),"")</f>
        <v>270.458333333333</v>
      </c>
      <c r="E21" s="25" t="n">
        <f aca="false">IF(ISNUMBER(D21),C21/D21,"")</f>
        <v>0.909567092897859</v>
      </c>
      <c r="F21" s="25" t="str">
        <f aca="false">IF(AND($A21+(-24)&gt;=1,$A21+(-24)&lt;=$B$8),INDEX($E$12:$E$59,$A21+(-24)),"")</f>
        <v/>
      </c>
      <c r="G21" s="25" t="str">
        <f aca="false">IF(AND($A21+(-12)&gt;=1,$A21+(-12)&lt;=$B$8),INDEX($E$12:$E$59,$A21+(-12)),"")</f>
        <v/>
      </c>
      <c r="H21" s="25" t="n">
        <f aca="false">IF(AND($A21+(0)&gt;=1,$A21+(0)&lt;=$B$8),INDEX($E$12:$E$59,$A21+(0)),"")</f>
        <v>0.909567092897859</v>
      </c>
      <c r="I21" s="25" t="n">
        <f aca="false">IF(AND($A21+(12)&gt;=1,$A21+(12)&lt;=$B$8),INDEX($E$12:$E$59,$A21+(12)),"")</f>
        <v>1.05117239345229</v>
      </c>
      <c r="J21" s="25" t="n">
        <f aca="false">IF(AND($A21+(24)&gt;=1,$A21+(24)&lt;=$B$8),INDEX($E$12:$E$59,$A21+(24)),"")</f>
        <v>1.20352990614932</v>
      </c>
      <c r="K21" s="25" t="n">
        <f aca="false">IF(SUMPRODUCT(Bobot_Filter!$B$38:$F$38,ISNUMBER(F21:J21)*1)&gt;0,SUMPRODUCT(Bobot_Filter!$B$38:$F$38,F21:J21)/SUMPRODUCT(Bobot_Filter!$B$38:$F$38,ISNUMBER(F21:J21)*1),"")</f>
        <v>1.00576266195791</v>
      </c>
      <c r="L21" s="25" t="n">
        <f aca="false">IF(AND($A21&gt;=$B$6,$A21&lt;=$B$7),SUMPRODUCT(Bobot_Filter!$B$4:$B$16,K15:K27),"")</f>
        <v>0.998753743495316</v>
      </c>
      <c r="M21" s="25" t="n">
        <f aca="false">K21/INDEX($L$12:$L$59,MAX($B$6,MIN($A21,$B$7)))</f>
        <v>1.00701766427235</v>
      </c>
      <c r="N21" s="27" t="n">
        <f aca="false">C21/M21</f>
        <v>244.2856850756</v>
      </c>
      <c r="O21" s="27" t="n">
        <f aca="false">IF(AND($A21&gt;=$B$6,$A21&lt;=$B$7),SUMPRODUCT(Bobot_Filter!$B$20:$B$32,N15:N27),"")</f>
        <v>267.436891738772</v>
      </c>
      <c r="P21" s="25" t="n">
        <f aca="false">IF(ISNUMBER(O21),C21/O21,"")</f>
        <v>0.919843176461566</v>
      </c>
      <c r="Q21" s="25" t="str">
        <f aca="false">IF(AND($A21+(-36)&gt;=1,$A21+(-36)&lt;=$B$8),INDEX($P$12:$P$59,$A21+(-36)),"")</f>
        <v/>
      </c>
      <c r="R21" s="25" t="str">
        <f aca="false">IF(AND($A21+(-24)&gt;=1,$A21+(-24)&lt;=$B$8),INDEX($P$12:$P$59,$A21+(-24)),"")</f>
        <v/>
      </c>
      <c r="S21" s="25" t="str">
        <f aca="false">IF(AND($A21+(-12)&gt;=1,$A21+(-12)&lt;=$B$8),INDEX($P$12:$P$59,$A21+(-12)),"")</f>
        <v/>
      </c>
      <c r="T21" s="25" t="n">
        <f aca="false">IF(AND($A21+(0)&gt;=1,$A21+(0)&lt;=$B$8),INDEX($P$12:$P$59,$A21+(0)),"")</f>
        <v>0.919843176461566</v>
      </c>
      <c r="U21" s="25" t="n">
        <f aca="false">IF(AND($A21+(12)&gt;=1,$A21+(12)&lt;=$B$8),INDEX($P$12:$P$59,$A21+(12)),"")</f>
        <v>1.0666554029228</v>
      </c>
      <c r="V21" s="25" t="n">
        <f aca="false">IF(AND($A21+(24)&gt;=1,$A21+(24)&lt;=$B$8),INDEX($P$12:$P$59,$A21+(24)),"")</f>
        <v>1.19054516367326</v>
      </c>
      <c r="W21" s="25" t="str">
        <f aca="false">IF(AND($A21+(36)&gt;=1,$A21+(36)&lt;=$B$8),INDEX($P$12:$P$59,$A21+(36)),"")</f>
        <v/>
      </c>
      <c r="X21" s="25" t="n">
        <f aca="false">IF(SUMPRODUCT(Bobot_Filter!$B$43:$H$43,ISNUMBER(Q21:W21)*1)&gt;0,SUMPRODUCT(Bobot_Filter!$B$43:$H$43,Q21:W21)/SUMPRODUCT(Bobot_Filter!$B$43:$H$43,ISNUMBER(Q21:W21)*1),"")</f>
        <v>1.04257325818745</v>
      </c>
      <c r="Y21" s="25" t="n">
        <f aca="false">IF(AND($A21&gt;=$B$6,$A21&lt;=$B$7),SUMPRODUCT(Bobot_Filter!$B$4:$B$16,X15:X27),"")</f>
        <v>0.999972778792693</v>
      </c>
      <c r="Z21" s="33" t="n">
        <f aca="false">X21/INDEX($Y$12:$Y$59,MAX($B$6,MIN($A21,$B$7)))</f>
        <v>1.04260163906281</v>
      </c>
      <c r="AA21" s="27" t="n">
        <f aca="false">C21/Z21</f>
        <v>235.948219131066</v>
      </c>
      <c r="AB21" s="27" t="n">
        <f aca="false">IF(AND($A21&gt;=$B$6,$A21&lt;=$B$7),SUMPRODUCT(Bobot_Filter!$B$20:$B$32,AA15:AA27),"")</f>
        <v>266.756475344101</v>
      </c>
      <c r="AC21" s="25" t="n">
        <f aca="false">IF(ISNUMBER(AB21),AA21/AB21,"")</f>
        <v>0.884507934912194</v>
      </c>
      <c r="AD21" s="27" t="n">
        <f aca="false">$B$4+$B$3*A21</f>
        <v>268.094726625721</v>
      </c>
      <c r="AE21" s="27" t="n">
        <f aca="false">AD21*Z21</f>
        <v>279.516001404072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Data!D15</f>
        <v>346</v>
      </c>
      <c r="D22" s="27" t="n">
        <f aca="false">IF(AND($A22&gt;=$B$6,$A22&lt;=$B$7),SUMPRODUCT(Bobot_Filter!$B$4:$B$16,C16:C28),"")</f>
        <v>269.833333333333</v>
      </c>
      <c r="E22" s="25" t="n">
        <f aca="false">IF(ISNUMBER(D22),C22/D22,"")</f>
        <v>1.28227300802965</v>
      </c>
      <c r="F22" s="25" t="str">
        <f aca="false">IF(AND($A22+(-24)&gt;=1,$A22+(-24)&lt;=$B$8),INDEX($E$12:$E$59,$A22+(-24)),"")</f>
        <v/>
      </c>
      <c r="G22" s="25" t="str">
        <f aca="false">IF(AND($A22+(-12)&gt;=1,$A22+(-12)&lt;=$B$8),INDEX($E$12:$E$59,$A22+(-12)),"")</f>
        <v/>
      </c>
      <c r="H22" s="25" t="n">
        <f aca="false">IF(AND($A22+(0)&gt;=1,$A22+(0)&lt;=$B$8),INDEX($E$12:$E$59,$A22+(0)),"")</f>
        <v>1.28227300802965</v>
      </c>
      <c r="I22" s="25" t="n">
        <f aca="false">IF(AND($A22+(12)&gt;=1,$A22+(12)&lt;=$B$8),INDEX($E$12:$E$59,$A22+(12)),"")</f>
        <v>1.23834652594547</v>
      </c>
      <c r="J22" s="25" t="n">
        <f aca="false">IF(AND($A22+(24)&gt;=1,$A22+(24)&lt;=$B$8),INDEX($E$12:$E$59,$A22+(24)),"")</f>
        <v>1.07327946503204</v>
      </c>
      <c r="K22" s="25" t="n">
        <f aca="false">IF(SUMPRODUCT(Bobot_Filter!$B$38:$F$38,ISNUMBER(F22:J22)*1)&gt;0,SUMPRODUCT(Bobot_Filter!$B$38:$F$38,F22:J22)/SUMPRODUCT(Bobot_Filter!$B$38:$F$38,ISNUMBER(F22:J22)*1),"")</f>
        <v>1.23279859016865</v>
      </c>
      <c r="L22" s="25" t="n">
        <f aca="false">IF(AND($A22&gt;=$B$6,$A22&lt;=$B$7),SUMPRODUCT(Bobot_Filter!$B$4:$B$16,K16:K28),"")</f>
        <v>0.999275288445254</v>
      </c>
      <c r="M22" s="25" t="n">
        <f aca="false">K22/INDEX($L$12:$L$59,MAX($B$6,MIN($A22,$B$7)))</f>
        <v>1.23369266149545</v>
      </c>
      <c r="N22" s="27" t="n">
        <f aca="false">C22/M22</f>
        <v>280.458829657452</v>
      </c>
      <c r="O22" s="27" t="n">
        <f aca="false">IF(AND($A22&gt;=$B$6,$A22&lt;=$B$7),SUMPRODUCT(Bobot_Filter!$B$20:$B$32,N16:N28),"")</f>
        <v>270.448765852477</v>
      </c>
      <c r="P22" s="25" t="n">
        <f aca="false">IF(ISNUMBER(O22),C22/O22,"")</f>
        <v>1.27935507085558</v>
      </c>
      <c r="Q22" s="25" t="str">
        <f aca="false">IF(AND($A22+(-36)&gt;=1,$A22+(-36)&lt;=$B$8),INDEX($P$12:$P$59,$A22+(-36)),"")</f>
        <v/>
      </c>
      <c r="R22" s="25" t="str">
        <f aca="false">IF(AND($A22+(-24)&gt;=1,$A22+(-24)&lt;=$B$8),INDEX($P$12:$P$59,$A22+(-24)),"")</f>
        <v/>
      </c>
      <c r="S22" s="25" t="str">
        <f aca="false">IF(AND($A22+(-12)&gt;=1,$A22+(-12)&lt;=$B$8),INDEX($P$12:$P$59,$A22+(-12)),"")</f>
        <v/>
      </c>
      <c r="T22" s="25" t="n">
        <f aca="false">IF(AND($A22+(0)&gt;=1,$A22+(0)&lt;=$B$8),INDEX($P$12:$P$59,$A22+(0)),"")</f>
        <v>1.27935507085558</v>
      </c>
      <c r="U22" s="25" t="n">
        <f aca="false">IF(AND($A22+(12)&gt;=1,$A22+(12)&lt;=$B$8),INDEX($P$12:$P$59,$A22+(12)),"")</f>
        <v>1.25086698986718</v>
      </c>
      <c r="V22" s="25" t="n">
        <f aca="false">IF(AND($A22+(24)&gt;=1,$A22+(24)&lt;=$B$8),INDEX($P$12:$P$59,$A22+(24)),"")</f>
        <v>1.07831380522376</v>
      </c>
      <c r="W22" s="25" t="str">
        <f aca="false">IF(AND($A22+(36)&gt;=1,$A22+(36)&lt;=$B$8),INDEX($P$12:$P$59,$A22+(36)),"")</f>
        <v/>
      </c>
      <c r="X22" s="25" t="n">
        <f aca="false">IF(SUMPRODUCT(Bobot_Filter!$B$43:$H$43,ISNUMBER(Q22:W22)*1)&gt;0,SUMPRODUCT(Bobot_Filter!$B$43:$H$43,Q22:W22)/SUMPRODUCT(Bobot_Filter!$B$43:$H$43,ISNUMBER(Q22:W22)*1),"")</f>
        <v>1.21841172407697</v>
      </c>
      <c r="Y22" s="25" t="n">
        <f aca="false">IF(AND($A22&gt;=$B$6,$A22&lt;=$B$7),SUMPRODUCT(Bobot_Filter!$B$4:$B$16,X16:X28),"")</f>
        <v>1.00028642362878</v>
      </c>
      <c r="Z22" s="33" t="n">
        <f aca="false">X22/INDEX($Y$12:$Y$59,MAX($B$6,MIN($A22,$B$7)))</f>
        <v>1.21806284209765</v>
      </c>
      <c r="AA22" s="27" t="n">
        <f aca="false">C22/Z22</f>
        <v>284.057593780749</v>
      </c>
      <c r="AB22" s="27" t="n">
        <f aca="false">IF(AND($A22&gt;=$B$6,$A22&lt;=$B$7),SUMPRODUCT(Bobot_Filter!$B$20:$B$32,AA16:AA28),"")</f>
        <v>270.434141696057</v>
      </c>
      <c r="AC22" s="25" t="n">
        <f aca="false">IF(ISNUMBER(AB22),AA22/AB22,"")</f>
        <v>1.05037622838319</v>
      </c>
      <c r="AD22" s="27" t="n">
        <f aca="false">$B$4+$B$3*A22</f>
        <v>269.335773806005</v>
      </c>
      <c r="AE22" s="27" t="n">
        <f aca="false">AD22*Z22</f>
        <v>328.067898120713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Data!D16</f>
        <v>289</v>
      </c>
      <c r="D23" s="27" t="n">
        <f aca="false">IF(AND($A23&gt;=$B$6,$A23&lt;=$B$7),SUMPRODUCT(Bobot_Filter!$B$4:$B$16,C17:C29),"")</f>
        <v>270.708333333333</v>
      </c>
      <c r="E23" s="25" t="n">
        <f aca="false">IF(ISNUMBER(D23),C23/D23,"")</f>
        <v>1.06756964752963</v>
      </c>
      <c r="F23" s="25" t="str">
        <f aca="false">IF(AND($A23+(-24)&gt;=1,$A23+(-24)&lt;=$B$8),INDEX($E$12:$E$59,$A23+(-24)),"")</f>
        <v/>
      </c>
      <c r="G23" s="25" t="str">
        <f aca="false">IF(AND($A23+(-12)&gt;=1,$A23+(-12)&lt;=$B$8),INDEX($E$12:$E$59,$A23+(-12)),"")</f>
        <v/>
      </c>
      <c r="H23" s="25" t="n">
        <f aca="false">IF(AND($A23+(0)&gt;=1,$A23+(0)&lt;=$B$8),INDEX($E$12:$E$59,$A23+(0)),"")</f>
        <v>1.06756964752963</v>
      </c>
      <c r="I23" s="25" t="n">
        <f aca="false">IF(AND($A23+(12)&gt;=1,$A23+(12)&lt;=$B$8),INDEX($E$12:$E$59,$A23+(12)),"")</f>
        <v>0.916861826697892</v>
      </c>
      <c r="J23" s="25" t="n">
        <f aca="false">IF(AND($A23+(24)&gt;=1,$A23+(24)&lt;=$B$8),INDEX($E$12:$E$59,$A23+(24)),"")</f>
        <v>0.948419301164726</v>
      </c>
      <c r="K23" s="25" t="n">
        <f aca="false">IF(SUMPRODUCT(Bobot_Filter!$B$38:$F$38,ISNUMBER(F23:J23)*1)&gt;0,SUMPRODUCT(Bobot_Filter!$B$38:$F$38,F23:J23)/SUMPRODUCT(Bobot_Filter!$B$38:$F$38,ISNUMBER(F23:J23)*1),"")</f>
        <v>0.997475316191566</v>
      </c>
      <c r="L23" s="25" t="n">
        <f aca="false">IF(AND($A23&gt;=$B$6,$A23&lt;=$B$7),SUMPRODUCT(Bobot_Filter!$B$4:$B$16,K17:K29),"")</f>
        <v>0.998887776493741</v>
      </c>
      <c r="M23" s="25" t="n">
        <f aca="false">K23/INDEX($L$12:$L$59,MAX($B$6,MIN($A23,$B$7)))</f>
        <v>0.998585966977059</v>
      </c>
      <c r="N23" s="27" t="n">
        <f aca="false">C23/M23</f>
        <v>289.409234214323</v>
      </c>
      <c r="O23" s="27" t="n">
        <f aca="false">IF(AND($A23&gt;=$B$6,$A23&lt;=$B$7),SUMPRODUCT(Bobot_Filter!$B$20:$B$32,N17:N29),"")</f>
        <v>272.440671397452</v>
      </c>
      <c r="P23" s="25" t="n">
        <f aca="false">IF(ISNUMBER(O23),C23/O23,"")</f>
        <v>1.06078141166518</v>
      </c>
      <c r="Q23" s="25" t="str">
        <f aca="false">IF(AND($A23+(-36)&gt;=1,$A23+(-36)&lt;=$B$8),INDEX($P$12:$P$59,$A23+(-36)),"")</f>
        <v/>
      </c>
      <c r="R23" s="25" t="str">
        <f aca="false">IF(AND($A23+(-24)&gt;=1,$A23+(-24)&lt;=$B$8),INDEX($P$12:$P$59,$A23+(-24)),"")</f>
        <v/>
      </c>
      <c r="S23" s="25" t="str">
        <f aca="false">IF(AND($A23+(-12)&gt;=1,$A23+(-12)&lt;=$B$8),INDEX($P$12:$P$59,$A23+(-12)),"")</f>
        <v/>
      </c>
      <c r="T23" s="25" t="n">
        <f aca="false">IF(AND($A23+(0)&gt;=1,$A23+(0)&lt;=$B$8),INDEX($P$12:$P$59,$A23+(0)),"")</f>
        <v>1.06078141166518</v>
      </c>
      <c r="U23" s="25" t="n">
        <f aca="false">IF(AND($A23+(12)&gt;=1,$A23+(12)&lt;=$B$8),INDEX($P$12:$P$59,$A23+(12)),"")</f>
        <v>0.914867907677078</v>
      </c>
      <c r="V23" s="25" t="n">
        <f aca="false">IF(AND($A23+(24)&gt;=1,$A23+(24)&lt;=$B$8),INDEX($P$12:$P$59,$A23+(24)),"")</f>
        <v>0.965907405115052</v>
      </c>
      <c r="W23" s="25" t="str">
        <f aca="false">IF(AND($A23+(36)&gt;=1,$A23+(36)&lt;=$B$8),INDEX($P$12:$P$59,$A23+(36)),"")</f>
        <v/>
      </c>
      <c r="X23" s="25" t="n">
        <f aca="false">IF(SUMPRODUCT(Bobot_Filter!$B$43:$H$43,ISNUMBER(Q23:W23)*1)&gt;0,SUMPRODUCT(Bobot_Filter!$B$43:$H$43,Q23:W23)/SUMPRODUCT(Bobot_Filter!$B$43:$H$43,ISNUMBER(Q23:W23)*1),"")</f>
        <v>0.982345346032112</v>
      </c>
      <c r="Y23" s="25" t="n">
        <f aca="false">IF(AND($A23&gt;=$B$6,$A23&lt;=$B$7),SUMPRODUCT(Bobot_Filter!$B$4:$B$16,X17:X29),"")</f>
        <v>0.999924411781578</v>
      </c>
      <c r="Z23" s="33" t="n">
        <f aca="false">X23/INDEX($Y$12:$Y$59,MAX($B$6,MIN($A23,$B$7)))</f>
        <v>0.982419605379825</v>
      </c>
      <c r="AA23" s="27" t="n">
        <f aca="false">C23/Z23</f>
        <v>294.171653759155</v>
      </c>
      <c r="AB23" s="27" t="n">
        <f aca="false">IF(AND($A23&gt;=$B$6,$A23&lt;=$B$7),SUMPRODUCT(Bobot_Filter!$B$20:$B$32,AA17:AA29),"")</f>
        <v>273.188007392948</v>
      </c>
      <c r="AC23" s="25" t="n">
        <f aca="false">IF(ISNUMBER(AB23),AA23/AB23,"")</f>
        <v>1.07681027643364</v>
      </c>
      <c r="AD23" s="27" t="n">
        <f aca="false">$B$4+$B$3*A23</f>
        <v>270.576820986289</v>
      </c>
      <c r="AE23" s="27" t="n">
        <f aca="false">AD23*Z23</f>
        <v>265.819973698278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Data!D17</f>
        <v>251</v>
      </c>
      <c r="D24" s="27" t="n">
        <f aca="false">IF(AND($A24&gt;=$B$6,$A24&lt;=$B$7),SUMPRODUCT(Bobot_Filter!$B$4:$B$16,C18:C30),"")</f>
        <v>272.416666666667</v>
      </c>
      <c r="E24" s="25" t="n">
        <f aca="false">IF(ISNUMBER(D24),C24/D24,"")</f>
        <v>0.921382685836647</v>
      </c>
      <c r="F24" s="25" t="str">
        <f aca="false">IF(AND($A24+(-24)&gt;=1,$A24+(-24)&lt;=$B$8),INDEX($E$12:$E$59,$A24+(-24)),"")</f>
        <v/>
      </c>
      <c r="G24" s="25" t="str">
        <f aca="false">IF(AND($A24+(-12)&gt;=1,$A24+(-12)&lt;=$B$8),INDEX($E$12:$E$59,$A24+(-12)),"")</f>
        <v/>
      </c>
      <c r="H24" s="25" t="n">
        <f aca="false">IF(AND($A24+(0)&gt;=1,$A24+(0)&lt;=$B$8),INDEX($E$12:$E$59,$A24+(0)),"")</f>
        <v>0.921382685836647</v>
      </c>
      <c r="I24" s="25" t="n">
        <f aca="false">IF(AND($A24+(12)&gt;=1,$A24+(12)&lt;=$B$8),INDEX($E$12:$E$59,$A24+(12)),"")</f>
        <v>0.954525515426232</v>
      </c>
      <c r="J24" s="25" t="n">
        <f aca="false">IF(AND($A24+(24)&gt;=1,$A24+(24)&lt;=$B$8),INDEX($E$12:$E$59,$A24+(24)),"")</f>
        <v>0.895646164478231</v>
      </c>
      <c r="K24" s="25" t="n">
        <f aca="false">IF(SUMPRODUCT(Bobot_Filter!$B$38:$F$38,ISNUMBER(F24:J24)*1)&gt;0,SUMPRODUCT(Bobot_Filter!$B$38:$F$38,F24:J24)/SUMPRODUCT(Bobot_Filter!$B$38:$F$38,ISNUMBER(F24:J24)*1),"")</f>
        <v>0.92814087547344</v>
      </c>
      <c r="L24" s="25" t="n">
        <f aca="false">IF(AND($A24&gt;=$B$6,$A24&lt;=$B$7),SUMPRODUCT(Bobot_Filter!$B$4:$B$16,K18:K30),"")</f>
        <v>0.998192924033639</v>
      </c>
      <c r="M24" s="25" t="n">
        <f aca="false">K24/INDEX($L$12:$L$59,MAX($B$6,MIN($A24,$B$7)))</f>
        <v>0.92982113289571</v>
      </c>
      <c r="N24" s="27" t="n">
        <f aca="false">C24/M24</f>
        <v>269.94439158241</v>
      </c>
      <c r="O24" s="27" t="n">
        <f aca="false">IF(AND($A24&gt;=$B$6,$A24&lt;=$B$7),SUMPRODUCT(Bobot_Filter!$B$20:$B$32,N18:N30),"")</f>
        <v>273.176653273547</v>
      </c>
      <c r="P24" s="25" t="n">
        <f aca="false">IF(ISNUMBER(O24),C24/O24,"")</f>
        <v>0.918819368317907</v>
      </c>
      <c r="Q24" s="25" t="str">
        <f aca="false">IF(AND($A24+(-36)&gt;=1,$A24+(-36)&lt;=$B$8),INDEX($P$12:$P$59,$A24+(-36)),"")</f>
        <v/>
      </c>
      <c r="R24" s="25" t="str">
        <f aca="false">IF(AND($A24+(-24)&gt;=1,$A24+(-24)&lt;=$B$8),INDEX($P$12:$P$59,$A24+(-24)),"")</f>
        <v/>
      </c>
      <c r="S24" s="25" t="str">
        <f aca="false">IF(AND($A24+(-12)&gt;=1,$A24+(-12)&lt;=$B$8),INDEX($P$12:$P$59,$A24+(-12)),"")</f>
        <v/>
      </c>
      <c r="T24" s="25" t="n">
        <f aca="false">IF(AND($A24+(0)&gt;=1,$A24+(0)&lt;=$B$8),INDEX($P$12:$P$59,$A24+(0)),"")</f>
        <v>0.918819368317907</v>
      </c>
      <c r="U24" s="25" t="n">
        <f aca="false">IF(AND($A24+(12)&gt;=1,$A24+(12)&lt;=$B$8),INDEX($P$12:$P$59,$A24+(12)),"")</f>
        <v>0.941647541825058</v>
      </c>
      <c r="V24" s="25" t="n">
        <f aca="false">IF(AND($A24+(24)&gt;=1,$A24+(24)&lt;=$B$8),INDEX($P$12:$P$59,$A24+(24)),"")</f>
        <v>0.915613253838038</v>
      </c>
      <c r="W24" s="25" t="str">
        <f aca="false">IF(AND($A24+(36)&gt;=1,$A24+(36)&lt;=$B$8),INDEX($P$12:$P$59,$A24+(36)),"")</f>
        <v/>
      </c>
      <c r="X24" s="25" t="n">
        <f aca="false">IF(SUMPRODUCT(Bobot_Filter!$B$43:$H$43,ISNUMBER(Q24:W24)*1)&gt;0,SUMPRODUCT(Bobot_Filter!$B$43:$H$43,Q24:W24)/SUMPRODUCT(Bobot_Filter!$B$43:$H$43,ISNUMBER(Q24:W24)*1),"")</f>
        <v>0.926578404763121</v>
      </c>
      <c r="Y24" s="25" t="n">
        <f aca="false">IF(AND($A24&gt;=$B$6,$A24&lt;=$B$7),SUMPRODUCT(Bobot_Filter!$B$4:$B$16,X18:X30),"")</f>
        <v>0.999351208677269</v>
      </c>
      <c r="Z24" s="33" t="n">
        <f aca="false">X24/INDEX($Y$12:$Y$59,MAX($B$6,MIN($A24,$B$7)))</f>
        <v>0.927179951069986</v>
      </c>
      <c r="AA24" s="27" t="n">
        <f aca="false">C24/Z24</f>
        <v>270.713360130728</v>
      </c>
      <c r="AB24" s="27" t="n">
        <f aca="false">IF(AND($A24&gt;=$B$6,$A24&lt;=$B$7),SUMPRODUCT(Bobot_Filter!$B$20:$B$32,AA18:AA30),"")</f>
        <v>274.291506284771</v>
      </c>
      <c r="AC24" s="25" t="n">
        <f aca="false">IF(ISNUMBER(AB24),AA24/AB24,"")</f>
        <v>0.986954950947962</v>
      </c>
      <c r="AD24" s="27" t="n">
        <f aca="false">$B$4+$B$3*A24</f>
        <v>271.817868166573</v>
      </c>
      <c r="AE24" s="27" t="n">
        <f aca="false">AD24*Z24</f>
        <v>252.024077706631</v>
      </c>
      <c r="AF24" s="28" t="n">
        <f aca="false">ABS(C24-AE24)/C24</f>
        <v>0.00407999086307128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Data!D18</f>
        <v>277</v>
      </c>
      <c r="D25" s="27" t="n">
        <f aca="false">IF(AND($A25&gt;=$B$6,$A25&lt;=$B$7),SUMPRODUCT(Bobot_Filter!$B$4:$B$16,C19:C31),"")</f>
        <v>272.75</v>
      </c>
      <c r="E25" s="25" t="n">
        <f aca="false">IF(ISNUMBER(D25),C25/D25,"")</f>
        <v>1.01558203483043</v>
      </c>
      <c r="F25" s="25" t="str">
        <f aca="false">IF(AND($A25+(-24)&gt;=1,$A25+(-24)&lt;=$B$8),INDEX($E$12:$E$59,$A25+(-24)),"")</f>
        <v/>
      </c>
      <c r="G25" s="25" t="str">
        <f aca="false">IF(AND($A25+(-12)&gt;=1,$A25+(-12)&lt;=$B$8),INDEX($E$12:$E$59,$A25+(-12)),"")</f>
        <v/>
      </c>
      <c r="H25" s="25" t="n">
        <f aca="false">IF(AND($A25+(0)&gt;=1,$A25+(0)&lt;=$B$8),INDEX($E$12:$E$59,$A25+(0)),"")</f>
        <v>1.01558203483043</v>
      </c>
      <c r="I25" s="25" t="n">
        <f aca="false">IF(AND($A25+(12)&gt;=1,$A25+(12)&lt;=$B$8),INDEX($E$12:$E$59,$A25+(12)),"")</f>
        <v>1.11053089643168</v>
      </c>
      <c r="J25" s="25" t="n">
        <f aca="false">IF(AND($A25+(24)&gt;=1,$A25+(24)&lt;=$B$8),INDEX($E$12:$E$59,$A25+(24)),"")</f>
        <v>0.9865273577124</v>
      </c>
      <c r="K25" s="25" t="n">
        <f aca="false">IF(SUMPRODUCT(Bobot_Filter!$B$38:$F$38,ISNUMBER(F25:J25)*1)&gt;0,SUMPRODUCT(Bobot_Filter!$B$38:$F$38,F25:J25)/SUMPRODUCT(Bobot_Filter!$B$38:$F$38,ISNUMBER(F25:J25)*1),"")</f>
        <v>1.04238920917784</v>
      </c>
      <c r="L25" s="25" t="n">
        <f aca="false">IF(AND($A25&gt;=$B$6,$A25&lt;=$B$7),SUMPRODUCT(Bobot_Filter!$B$4:$B$16,K19:K31),"")</f>
        <v>0.997949752343879</v>
      </c>
      <c r="M25" s="25" t="n">
        <f aca="false">K25/INDEX($L$12:$L$59,MAX($B$6,MIN($A25,$B$7)))</f>
        <v>1.0445307559119</v>
      </c>
      <c r="N25" s="27" t="n">
        <f aca="false">C25/M25</f>
        <v>265.190850946436</v>
      </c>
      <c r="O25" s="27" t="n">
        <f aca="false">IF(AND($A25&gt;=$B$6,$A25&lt;=$B$7),SUMPRODUCT(Bobot_Filter!$B$20:$B$32,N19:N31),"")</f>
        <v>273.957158336395</v>
      </c>
      <c r="P25" s="25" t="n">
        <f aca="false">IF(ISNUMBER(O25),C25/O25,"")</f>
        <v>1.01110699819666</v>
      </c>
      <c r="Q25" s="25" t="str">
        <f aca="false">IF(AND($A25+(-36)&gt;=1,$A25+(-36)&lt;=$B$8),INDEX($P$12:$P$59,$A25+(-36)),"")</f>
        <v/>
      </c>
      <c r="R25" s="25" t="str">
        <f aca="false">IF(AND($A25+(-24)&gt;=1,$A25+(-24)&lt;=$B$8),INDEX($P$12:$P$59,$A25+(-24)),"")</f>
        <v/>
      </c>
      <c r="S25" s="25" t="str">
        <f aca="false">IF(AND($A25+(-12)&gt;=1,$A25+(-12)&lt;=$B$8),INDEX($P$12:$P$59,$A25+(-12)),"")</f>
        <v/>
      </c>
      <c r="T25" s="25" t="n">
        <f aca="false">IF(AND($A25+(0)&gt;=1,$A25+(0)&lt;=$B$8),INDEX($P$12:$P$59,$A25+(0)),"")</f>
        <v>1.01110699819666</v>
      </c>
      <c r="U25" s="25" t="n">
        <f aca="false">IF(AND($A25+(12)&gt;=1,$A25+(12)&lt;=$B$8),INDEX($P$12:$P$59,$A25+(12)),"")</f>
        <v>1.09649805260355</v>
      </c>
      <c r="V25" s="25" t="n">
        <f aca="false">IF(AND($A25+(24)&gt;=1,$A25+(24)&lt;=$B$8),INDEX($P$12:$P$59,$A25+(24)),"")</f>
        <v>1.00599624605475</v>
      </c>
      <c r="W25" s="25" t="str">
        <f aca="false">IF(AND($A25+(36)&gt;=1,$A25+(36)&lt;=$B$8),INDEX($P$12:$P$59,$A25+(36)),"")</f>
        <v/>
      </c>
      <c r="X25" s="25" t="n">
        <f aca="false">IF(SUMPRODUCT(Bobot_Filter!$B$43:$H$43,ISNUMBER(Q25:W25)*1)&gt;0,SUMPRODUCT(Bobot_Filter!$B$43:$H$43,Q25:W25)/SUMPRODUCT(Bobot_Filter!$B$43:$H$43,ISNUMBER(Q25:W25)*1),"")</f>
        <v>1.04185095556377</v>
      </c>
      <c r="Y25" s="25" t="n">
        <f aca="false">IF(AND($A25&gt;=$B$6,$A25&lt;=$B$7),SUMPRODUCT(Bobot_Filter!$B$4:$B$16,X19:X31),"")</f>
        <v>0.99932315504775</v>
      </c>
      <c r="Z25" s="33" t="n">
        <f aca="false">X25/INDEX($Y$12:$Y$59,MAX($B$6,MIN($A25,$B$7)))</f>
        <v>1.04255660473912</v>
      </c>
      <c r="AA25" s="27" t="n">
        <f aca="false">C25/Z25</f>
        <v>265.693007689798</v>
      </c>
      <c r="AB25" s="27" t="n">
        <f aca="false">IF(AND($A25&gt;=$B$6,$A25&lt;=$B$7),SUMPRODUCT(Bobot_Filter!$B$20:$B$32,AA19:AA31),"")</f>
        <v>274.860607480177</v>
      </c>
      <c r="AC25" s="25" t="n">
        <f aca="false">IF(ISNUMBER(AB25),AA25/AB25,"")</f>
        <v>0.966646367137058</v>
      </c>
      <c r="AD25" s="27" t="n">
        <f aca="false">$B$4+$B$3*A25</f>
        <v>273.058915346857</v>
      </c>
      <c r="AE25" s="27" t="n">
        <f aca="false">AD25*Z25</f>
        <v>284.679375677765</v>
      </c>
      <c r="AF25" s="28" t="n">
        <f aca="false">ABS(C25-AE25)/C25</f>
        <v>0.0277233778980698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Data!D19</f>
        <v>256</v>
      </c>
      <c r="D26" s="27" t="n">
        <f aca="false">IF(AND($A26&gt;=$B$6,$A26&lt;=$B$7),SUMPRODUCT(Bobot_Filter!$B$4:$B$16,C20:C32),"")</f>
        <v>272.75</v>
      </c>
      <c r="E26" s="25" t="n">
        <f aca="false">IF(ISNUMBER(D26),C26/D26,"")</f>
        <v>0.93858845096242</v>
      </c>
      <c r="F26" s="25" t="str">
        <f aca="false">IF(AND($A26+(-24)&gt;=1,$A26+(-24)&lt;=$B$8),INDEX($E$12:$E$59,$A26+(-24)),"")</f>
        <v/>
      </c>
      <c r="G26" s="25" t="str">
        <f aca="false">IF(AND($A26+(-12)&gt;=1,$A26+(-12)&lt;=$B$8),INDEX($E$12:$E$59,$A26+(-12)),"")</f>
        <v/>
      </c>
      <c r="H26" s="25" t="n">
        <f aca="false">IF(AND($A26+(0)&gt;=1,$A26+(0)&lt;=$B$8),INDEX($E$12:$E$59,$A26+(0)),"")</f>
        <v>0.93858845096242</v>
      </c>
      <c r="I26" s="25" t="n">
        <f aca="false">IF(AND($A26+(12)&gt;=1,$A26+(12)&lt;=$B$8),INDEX($E$12:$E$59,$A26+(12)),"")</f>
        <v>0.883667621776504</v>
      </c>
      <c r="J26" s="25" t="n">
        <f aca="false">IF(AND($A26+(24)&gt;=1,$A26+(24)&lt;=$B$8),INDEX($E$12:$E$59,$A26+(24)),"")</f>
        <v>0.940016433853739</v>
      </c>
      <c r="K26" s="25" t="n">
        <f aca="false">IF(SUMPRODUCT(Bobot_Filter!$B$38:$F$38,ISNUMBER(F26:J26)*1)&gt;0,SUMPRODUCT(Bobot_Filter!$B$38:$F$38,F26:J26)/SUMPRODUCT(Bobot_Filter!$B$38:$F$38,ISNUMBER(F26:J26)*1),"")</f>
        <v>0.920519505049001</v>
      </c>
      <c r="L26" s="25" t="n">
        <f aca="false">IF(AND($A26&gt;=$B$6,$A26&lt;=$B$7),SUMPRODUCT(Bobot_Filter!$B$4:$B$16,K20:K32),"")</f>
        <v>0.998163979756083</v>
      </c>
      <c r="M26" s="25" t="n">
        <f aca="false">K26/INDEX($L$12:$L$59,MAX($B$6,MIN($A26,$B$7)))</f>
        <v>0.922212706246868</v>
      </c>
      <c r="N26" s="27" t="n">
        <f aca="false">C26/M26</f>
        <v>277.593225799115</v>
      </c>
      <c r="O26" s="27" t="n">
        <f aca="false">IF(AND($A26&gt;=$B$6,$A26&lt;=$B$7),SUMPRODUCT(Bobot_Filter!$B$20:$B$32,N20:N32),"")</f>
        <v>274.613485990449</v>
      </c>
      <c r="P26" s="25" t="n">
        <f aca="false">IF(ISNUMBER(O26),C26/O26,"")</f>
        <v>0.932219330295031</v>
      </c>
      <c r="Q26" s="25" t="str">
        <f aca="false">IF(AND($A26+(-36)&gt;=1,$A26+(-36)&lt;=$B$8),INDEX($P$12:$P$59,$A26+(-36)),"")</f>
        <v/>
      </c>
      <c r="R26" s="25" t="str">
        <f aca="false">IF(AND($A26+(-24)&gt;=1,$A26+(-24)&lt;=$B$8),INDEX($P$12:$P$59,$A26+(-24)),"")</f>
        <v/>
      </c>
      <c r="S26" s="25" t="str">
        <f aca="false">IF(AND($A26+(-12)&gt;=1,$A26+(-12)&lt;=$B$8),INDEX($P$12:$P$59,$A26+(-12)),"")</f>
        <v/>
      </c>
      <c r="T26" s="25" t="n">
        <f aca="false">IF(AND($A26+(0)&gt;=1,$A26+(0)&lt;=$B$8),INDEX($P$12:$P$59,$A26+(0)),"")</f>
        <v>0.932219330295031</v>
      </c>
      <c r="U26" s="25" t="n">
        <f aca="false">IF(AND($A26+(12)&gt;=1,$A26+(12)&lt;=$B$8),INDEX($P$12:$P$59,$A26+(12)),"")</f>
        <v>0.8810707581458</v>
      </c>
      <c r="V26" s="25" t="n">
        <f aca="false">IF(AND($A26+(24)&gt;=1,$A26+(24)&lt;=$B$8),INDEX($P$12:$P$59,$A26+(24)),"")</f>
        <v>0.948201705867847</v>
      </c>
      <c r="W26" s="25" t="str">
        <f aca="false">IF(AND($A26+(36)&gt;=1,$A26+(36)&lt;=$B$8),INDEX($P$12:$P$59,$A26+(36)),"")</f>
        <v/>
      </c>
      <c r="X26" s="25" t="n">
        <f aca="false">IF(SUMPRODUCT(Bobot_Filter!$B$43:$H$43,ISNUMBER(Q26:W26)*1)&gt;0,SUMPRODUCT(Bobot_Filter!$B$43:$H$43,Q26:W26)/SUMPRODUCT(Bobot_Filter!$B$43:$H$43,ISNUMBER(Q26:W26)*1),"")</f>
        <v>0.917034209632273</v>
      </c>
      <c r="Y26" s="25" t="n">
        <f aca="false">IF(AND($A26&gt;=$B$6,$A26&lt;=$B$7),SUMPRODUCT(Bobot_Filter!$B$4:$B$16,X20:X32),"")</f>
        <v>0.999620961618505</v>
      </c>
      <c r="Z26" s="33" t="n">
        <f aca="false">X26/INDEX($Y$12:$Y$59,MAX($B$6,MIN($A26,$B$7)))</f>
        <v>0.917381932595217</v>
      </c>
      <c r="AA26" s="27" t="n">
        <f aca="false">C26/Z26</f>
        <v>279.05498343072</v>
      </c>
      <c r="AB26" s="27" t="n">
        <f aca="false">IF(AND($A26&gt;=$B$6,$A26&lt;=$B$7),SUMPRODUCT(Bobot_Filter!$B$20:$B$32,AA20:AA32),"")</f>
        <v>274.965516294543</v>
      </c>
      <c r="AC26" s="25" t="n">
        <f aca="false">IF(ISNUMBER(AB26),AA26/AB26,"")</f>
        <v>1.01487265454697</v>
      </c>
      <c r="AD26" s="27" t="n">
        <f aca="false">$B$4+$B$3*A26</f>
        <v>274.299962527141</v>
      </c>
      <c r="AE26" s="27" t="n">
        <f aca="false">AD26*Z26</f>
        <v>251.637829733944</v>
      </c>
      <c r="AF26" s="28" t="n">
        <f aca="false">ABS(C26-AE26)/C26</f>
        <v>0.0170397276017809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Data!D20</f>
        <v>247</v>
      </c>
      <c r="D27" s="27" t="n">
        <f aca="false">IF(AND($A27&gt;=$B$6,$A27&lt;=$B$7),SUMPRODUCT(Bobot_Filter!$B$4:$B$16,C21:C33),"")</f>
        <v>275.291666666667</v>
      </c>
      <c r="E27" s="25" t="n">
        <f aca="false">IF(ISNUMBER(D27),C27/D27,"")</f>
        <v>0.897230210382927</v>
      </c>
      <c r="F27" s="25" t="str">
        <f aca="false">IF(AND($A27+(-24)&gt;=1,$A27+(-24)&lt;=$B$8),INDEX($E$12:$E$59,$A27+(-24)),"")</f>
        <v/>
      </c>
      <c r="G27" s="25" t="str">
        <f aca="false">IF(AND($A27+(-12)&gt;=1,$A27+(-12)&lt;=$B$8),INDEX($E$12:$E$59,$A27+(-12)),"")</f>
        <v/>
      </c>
      <c r="H27" s="25" t="n">
        <f aca="false">IF(AND($A27+(0)&gt;=1,$A27+(0)&lt;=$B$8),INDEX($E$12:$E$59,$A27+(0)),"")</f>
        <v>0.897230210382927</v>
      </c>
      <c r="I27" s="25" t="n">
        <f aca="false">IF(AND($A27+(12)&gt;=1,$A27+(12)&lt;=$B$8),INDEX($E$12:$E$59,$A27+(12)),"")</f>
        <v>0.970725498515062</v>
      </c>
      <c r="J27" s="25" t="n">
        <f aca="false">IF(AND($A27+(24)&gt;=1,$A27+(24)&lt;=$B$8),INDEX($E$12:$E$59,$A27+(24)),"")</f>
        <v>0.955824384939514</v>
      </c>
      <c r="K27" s="25" t="n">
        <f aca="false">IF(SUMPRODUCT(Bobot_Filter!$B$38:$F$38,ISNUMBER(F27:J27)*1)&gt;0,SUMPRODUCT(Bobot_Filter!$B$38:$F$38,F27:J27)/SUMPRODUCT(Bobot_Filter!$B$38:$F$38,ISNUMBER(F27:J27)*1),"")</f>
        <v>0.931494335519736</v>
      </c>
      <c r="L27" s="25" t="n">
        <f aca="false">IF(AND($A27&gt;=$B$6,$A27&lt;=$B$7),SUMPRODUCT(Bobot_Filter!$B$4:$B$16,K21:K33),"")</f>
        <v>1.00044875398053</v>
      </c>
      <c r="M27" s="25" t="n">
        <f aca="false">K27/INDEX($L$12:$L$59,MAX($B$6,MIN($A27,$B$7)))</f>
        <v>0.931076511229146</v>
      </c>
      <c r="N27" s="27" t="n">
        <f aca="false">C27/M27</f>
        <v>265.28432091357</v>
      </c>
      <c r="O27" s="27" t="n">
        <f aca="false">IF(AND($A27&gt;=$B$6,$A27&lt;=$B$7),SUMPRODUCT(Bobot_Filter!$B$20:$B$32,N21:N33),"")</f>
        <v>275.07508061971</v>
      </c>
      <c r="P27" s="25" t="n">
        <f aca="false">IF(ISNUMBER(O27),C27/O27,"")</f>
        <v>0.897936663123171</v>
      </c>
      <c r="Q27" s="25" t="str">
        <f aca="false">IF(AND($A27+(-36)&gt;=1,$A27+(-36)&lt;=$B$8),INDEX($P$12:$P$59,$A27+(-36)),"")</f>
        <v/>
      </c>
      <c r="R27" s="25" t="str">
        <f aca="false">IF(AND($A27+(-24)&gt;=1,$A27+(-24)&lt;=$B$8),INDEX($P$12:$P$59,$A27+(-24)),"")</f>
        <v/>
      </c>
      <c r="S27" s="25" t="str">
        <f aca="false">IF(AND($A27+(-12)&gt;=1,$A27+(-12)&lt;=$B$8),INDEX($P$12:$P$59,$A27+(-12)),"")</f>
        <v/>
      </c>
      <c r="T27" s="25" t="n">
        <f aca="false">IF(AND($A27+(0)&gt;=1,$A27+(0)&lt;=$B$8),INDEX($P$12:$P$59,$A27+(0)),"")</f>
        <v>0.897936663123171</v>
      </c>
      <c r="U27" s="25" t="n">
        <f aca="false">IF(AND($A27+(12)&gt;=1,$A27+(12)&lt;=$B$8),INDEX($P$12:$P$59,$A27+(12)),"")</f>
        <v>0.97994515085444</v>
      </c>
      <c r="V27" s="25" t="n">
        <f aca="false">IF(AND($A27+(24)&gt;=1,$A27+(24)&lt;=$B$8),INDEX($P$12:$P$59,$A27+(24)),"")</f>
        <v>0.958782532539685</v>
      </c>
      <c r="W27" s="25" t="str">
        <f aca="false">IF(AND($A27+(36)&gt;=1,$A27+(36)&lt;=$B$8),INDEX($P$12:$P$59,$A27+(36)),"")</f>
        <v/>
      </c>
      <c r="X27" s="25" t="n">
        <f aca="false">IF(SUMPRODUCT(Bobot_Filter!$B$43:$H$43,ISNUMBER(Q27:W27)*1)&gt;0,SUMPRODUCT(Bobot_Filter!$B$43:$H$43,Q27:W27)/SUMPRODUCT(Bobot_Filter!$B$43:$H$43,ISNUMBER(Q27:W27)*1),"")</f>
        <v>0.943901313376526</v>
      </c>
      <c r="Y27" s="25" t="n">
        <f aca="false">IF(AND($A27&gt;=$B$6,$A27&lt;=$B$7),SUMPRODUCT(Bobot_Filter!$B$4:$B$16,X21:X33),"")</f>
        <v>1.00038068428908</v>
      </c>
      <c r="Z27" s="33" t="n">
        <f aca="false">X27/INDEX($Y$12:$Y$59,MAX($B$6,MIN($A27,$B$7)))</f>
        <v>0.943542121714701</v>
      </c>
      <c r="AA27" s="27" t="n">
        <f aca="false">C27/Z27</f>
        <v>261.779516055019</v>
      </c>
      <c r="AB27" s="27" t="n">
        <f aca="false">IF(AND($A27&gt;=$B$6,$A27&lt;=$B$7),SUMPRODUCT(Bobot_Filter!$B$20:$B$32,AA21:AA33),"")</f>
        <v>274.933702546986</v>
      </c>
      <c r="AC27" s="25" t="n">
        <f aca="false">IF(ISNUMBER(AB27),AA27/AB27,"")</f>
        <v>0.952155060037722</v>
      </c>
      <c r="AD27" s="27" t="n">
        <f aca="false">$B$4+$B$3*A27</f>
        <v>275.541009707425</v>
      </c>
      <c r="AE27" s="27" t="n">
        <f aca="false">AD27*Z27</f>
        <v>259.984548918755</v>
      </c>
      <c r="AF27" s="28" t="n">
        <f aca="false">ABS(C27-AE27)/C27</f>
        <v>0.0525690239625693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Data!D21</f>
        <v>250</v>
      </c>
      <c r="D28" s="27" t="n">
        <f aca="false">IF(AND($A28&gt;=$B$6,$A28&lt;=$B$7),SUMPRODUCT(Bobot_Filter!$B$4:$B$16,C22:C34),"")</f>
        <v>277.666666666667</v>
      </c>
      <c r="E28" s="25" t="n">
        <f aca="false">IF(ISNUMBER(D28),C28/D28,"")</f>
        <v>0.900360144057623</v>
      </c>
      <c r="F28" s="25" t="str">
        <f aca="false">IF(AND($A28+(-24)&gt;=1,$A28+(-24)&lt;=$B$8),INDEX($E$12:$E$59,$A28+(-24)),"")</f>
        <v/>
      </c>
      <c r="G28" s="25" t="str">
        <f aca="false">IF(AND($A28+(-12)&gt;=1,$A28+(-12)&lt;=$B$8),INDEX($E$12:$E$59,$A28+(-12)),"")</f>
        <v/>
      </c>
      <c r="H28" s="25" t="n">
        <f aca="false">IF(AND($A28+(0)&gt;=1,$A28+(0)&lt;=$B$8),INDEX($E$12:$E$59,$A28+(0)),"")</f>
        <v>0.900360144057623</v>
      </c>
      <c r="I28" s="25" t="n">
        <f aca="false">IF(AND($A28+(12)&gt;=1,$A28+(12)&lt;=$B$8),INDEX($E$12:$E$59,$A28+(12)),"")</f>
        <v>0.85171102661597</v>
      </c>
      <c r="J28" s="25" t="n">
        <f aca="false">IF(AND($A28+(24)&gt;=1,$A28+(24)&lt;=$B$8),INDEX($E$12:$E$59,$A28+(24)),"")</f>
        <v>0.916868442292171</v>
      </c>
      <c r="K28" s="25" t="n">
        <f aca="false">IF(SUMPRODUCT(Bobot_Filter!$B$38:$F$38,ISNUMBER(F28:J28)*1)&gt;0,SUMPRODUCT(Bobot_Filter!$B$38:$F$38,F28:J28)/SUMPRODUCT(Bobot_Filter!$B$38:$F$38,ISNUMBER(F28:J28)*1),"")</f>
        <v>0.886895154616163</v>
      </c>
      <c r="L28" s="25" t="n">
        <f aca="false">IF(AND($A28&gt;=$B$6,$A28&lt;=$B$7),SUMPRODUCT(Bobot_Filter!$B$4:$B$16,K22:K34),"")</f>
        <v>1.00125784289437</v>
      </c>
      <c r="M28" s="25" t="n">
        <f aca="false">K28/INDEX($L$12:$L$59,MAX($B$6,MIN($A28,$B$7)))</f>
        <v>0.885780981302865</v>
      </c>
      <c r="N28" s="27" t="n">
        <f aca="false">C28/M28</f>
        <v>282.236811669047</v>
      </c>
      <c r="O28" s="27" t="n">
        <f aca="false">IF(AND($A28&gt;=$B$6,$A28&lt;=$B$7),SUMPRODUCT(Bobot_Filter!$B$20:$B$32,N22:N34),"")</f>
        <v>275.553898825806</v>
      </c>
      <c r="P28" s="25" t="n">
        <f aca="false">IF(ISNUMBER(O28),C28/O28,"")</f>
        <v>0.907263519279906</v>
      </c>
      <c r="Q28" s="25" t="str">
        <f aca="false">IF(AND($A28+(-36)&gt;=1,$A28+(-36)&lt;=$B$8),INDEX($P$12:$P$59,$A28+(-36)),"")</f>
        <v/>
      </c>
      <c r="R28" s="25" t="str">
        <f aca="false">IF(AND($A28+(-24)&gt;=1,$A28+(-24)&lt;=$B$8),INDEX($P$12:$P$59,$A28+(-24)),"")</f>
        <v/>
      </c>
      <c r="S28" s="25" t="str">
        <f aca="false">IF(AND($A28+(-12)&gt;=1,$A28+(-12)&lt;=$B$8),INDEX($P$12:$P$59,$A28+(-12)),"")</f>
        <v/>
      </c>
      <c r="T28" s="25" t="n">
        <f aca="false">IF(AND($A28+(0)&gt;=1,$A28+(0)&lt;=$B$8),INDEX($P$12:$P$59,$A28+(0)),"")</f>
        <v>0.907263519279906</v>
      </c>
      <c r="U28" s="25" t="n">
        <f aca="false">IF(AND($A28+(12)&gt;=1,$A28+(12)&lt;=$B$8),INDEX($P$12:$P$59,$A28+(12)),"")</f>
        <v>0.860130735837941</v>
      </c>
      <c r="V28" s="25" t="n">
        <f aca="false">IF(AND($A28+(24)&gt;=1,$A28+(24)&lt;=$B$8),INDEX($P$12:$P$59,$A28+(24)),"")</f>
        <v>0.91930951051305</v>
      </c>
      <c r="W28" s="25" t="str">
        <f aca="false">IF(AND($A28+(36)&gt;=1,$A28+(36)&lt;=$B$8),INDEX($P$12:$P$59,$A28+(36)),"")</f>
        <v/>
      </c>
      <c r="X28" s="25" t="n">
        <f aca="false">IF(SUMPRODUCT(Bobot_Filter!$B$43:$H$43,ISNUMBER(Q28:W28)*1)&gt;0,SUMPRODUCT(Bobot_Filter!$B$43:$H$43,Q28:W28)/SUMPRODUCT(Bobot_Filter!$B$43:$H$43,ISNUMBER(Q28:W28)*1),"")</f>
        <v>0.892600223297455</v>
      </c>
      <c r="Y28" s="25" t="n">
        <f aca="false">IF(AND($A28&gt;=$B$6,$A28&lt;=$B$7),SUMPRODUCT(Bobot_Filter!$B$4:$B$16,X22:X34),"")</f>
        <v>1.0004171379309</v>
      </c>
      <c r="Z28" s="33" t="n">
        <f aca="false">X28/INDEX($Y$12:$Y$59,MAX($B$6,MIN($A28,$B$7)))</f>
        <v>0.892228041138484</v>
      </c>
      <c r="AA28" s="27" t="n">
        <f aca="false">C28/Z28</f>
        <v>280.197425403712</v>
      </c>
      <c r="AB28" s="27" t="n">
        <f aca="false">IF(AND($A28&gt;=$B$6,$A28&lt;=$B$7),SUMPRODUCT(Bobot_Filter!$B$20:$B$32,AA22:AA34),"")</f>
        <v>275.28237381292</v>
      </c>
      <c r="AC28" s="25" t="n">
        <f aca="false">IF(ISNUMBER(AB28),AA28/AB28,"")</f>
        <v>1.01785458154372</v>
      </c>
      <c r="AD28" s="27" t="n">
        <f aca="false">$B$4+$B$3*A28</f>
        <v>276.782056887709</v>
      </c>
      <c r="AE28" s="27" t="n">
        <f aca="false">AD28*Z28</f>
        <v>246.952712439201</v>
      </c>
      <c r="AF28" s="28" t="n">
        <f aca="false">ABS(C28-AE28)/C28</f>
        <v>0.0121891502431971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Data!D22</f>
        <v>264</v>
      </c>
      <c r="D29" s="27" t="n">
        <f aca="false">IF(AND($A29&gt;=$B$6,$A29&lt;=$B$7),SUMPRODUCT(Bobot_Filter!$B$4:$B$16,C23:C35),"")</f>
        <v>276.75</v>
      </c>
      <c r="E29" s="25" t="n">
        <f aca="false">IF(ISNUMBER(D29),C29/D29,"")</f>
        <v>0.953929539295393</v>
      </c>
      <c r="F29" s="25" t="str">
        <f aca="false">IF(AND($A29+(-24)&gt;=1,$A29+(-24)&lt;=$B$8),INDEX($E$12:$E$59,$A29+(-24)),"")</f>
        <v/>
      </c>
      <c r="G29" s="25" t="str">
        <f aca="false">IF(AND($A29+(-12)&gt;=1,$A29+(-12)&lt;=$B$8),INDEX($E$12:$E$59,$A29+(-12)),"")</f>
        <v/>
      </c>
      <c r="H29" s="25" t="n">
        <f aca="false">IF(AND($A29+(0)&gt;=1,$A29+(0)&lt;=$B$8),INDEX($E$12:$E$59,$A29+(0)),"")</f>
        <v>0.953929539295393</v>
      </c>
      <c r="I29" s="25" t="n">
        <f aca="false">IF(AND($A29+(12)&gt;=1,$A29+(12)&lt;=$B$8),INDEX($E$12:$E$59,$A29+(12)),"")</f>
        <v>0.920214265576544</v>
      </c>
      <c r="J29" s="25" t="n">
        <f aca="false">IF(AND($A29+(24)&gt;=1,$A29+(24)&lt;=$B$8),INDEX($E$12:$E$59,$A29+(24)),"")</f>
        <v>0.881619520042901</v>
      </c>
      <c r="K29" s="25" t="n">
        <f aca="false">IF(SUMPRODUCT(Bobot_Filter!$B$38:$F$38,ISNUMBER(F29:J29)*1)&gt;0,SUMPRODUCT(Bobot_Filter!$B$38:$F$38,F29:J29)/SUMPRODUCT(Bobot_Filter!$B$38:$F$38,ISNUMBER(F29:J29)*1),"")</f>
        <v>0.930639444847028</v>
      </c>
      <c r="L29" s="25" t="n">
        <f aca="false">IF(AND($A29&gt;=$B$6,$A29&lt;=$B$7),SUMPRODUCT(Bobot_Filter!$B$4:$B$16,K23:K35),"")</f>
        <v>0.998857786685563</v>
      </c>
      <c r="M29" s="25" t="n">
        <f aca="false">K29/INDEX($L$12:$L$59,MAX($B$6,MIN($A29,$B$7)))</f>
        <v>0.931703649160209</v>
      </c>
      <c r="N29" s="27" t="n">
        <f aca="false">C29/M29</f>
        <v>283.351900830223</v>
      </c>
      <c r="O29" s="27" t="n">
        <f aca="false">IF(AND($A29&gt;=$B$6,$A29&lt;=$B$7),SUMPRODUCT(Bobot_Filter!$B$20:$B$32,N23:N35),"")</f>
        <v>276.722103272087</v>
      </c>
      <c r="P29" s="25" t="n">
        <f aca="false">IF(ISNUMBER(O29),C29/O29,"")</f>
        <v>0.954025706216977</v>
      </c>
      <c r="Q29" s="25" t="str">
        <f aca="false">IF(AND($A29+(-36)&gt;=1,$A29+(-36)&lt;=$B$8),INDEX($P$12:$P$59,$A29+(-36)),"")</f>
        <v/>
      </c>
      <c r="R29" s="25" t="str">
        <f aca="false">IF(AND($A29+(-24)&gt;=1,$A29+(-24)&lt;=$B$8),INDEX($P$12:$P$59,$A29+(-24)),"")</f>
        <v/>
      </c>
      <c r="S29" s="25" t="str">
        <f aca="false">IF(AND($A29+(-12)&gt;=1,$A29+(-12)&lt;=$B$8),INDEX($P$12:$P$59,$A29+(-12)),"")</f>
        <v/>
      </c>
      <c r="T29" s="25" t="n">
        <f aca="false">IF(AND($A29+(0)&gt;=1,$A29+(0)&lt;=$B$8),INDEX($P$12:$P$59,$A29+(0)),"")</f>
        <v>0.954025706216977</v>
      </c>
      <c r="U29" s="25" t="n">
        <f aca="false">IF(AND($A29+(12)&gt;=1,$A29+(12)&lt;=$B$8),INDEX($P$12:$P$59,$A29+(12)),"")</f>
        <v>0.921208200096558</v>
      </c>
      <c r="V29" s="25" t="n">
        <f aca="false">IF(AND($A29+(24)&gt;=1,$A29+(24)&lt;=$B$8),INDEX($P$12:$P$59,$A29+(24)),"")</f>
        <v>0.877695447769508</v>
      </c>
      <c r="W29" s="25" t="str">
        <f aca="false">IF(AND($A29+(36)&gt;=1,$A29+(36)&lt;=$B$8),INDEX($P$12:$P$59,$A29+(36)),"")</f>
        <v/>
      </c>
      <c r="X29" s="25" t="n">
        <f aca="false">IF(SUMPRODUCT(Bobot_Filter!$B$43:$H$43,ISNUMBER(Q29:W29)*1)&gt;0,SUMPRODUCT(Bobot_Filter!$B$43:$H$43,Q29:W29)/SUMPRODUCT(Bobot_Filter!$B$43:$H$43,ISNUMBER(Q29:W29)*1),"")</f>
        <v>0.922636576809953</v>
      </c>
      <c r="Y29" s="25" t="n">
        <f aca="false">IF(AND($A29&gt;=$B$6,$A29&lt;=$B$7),SUMPRODUCT(Bobot_Filter!$B$4:$B$16,X23:X35),"")</f>
        <v>0.999692434876408</v>
      </c>
      <c r="Z29" s="33" t="n">
        <f aca="false">X29/INDEX($Y$12:$Y$59,MAX($B$6,MIN($A29,$B$7)))</f>
        <v>0.922920434947593</v>
      </c>
      <c r="AA29" s="27" t="n">
        <f aca="false">C29/Z29</f>
        <v>286.048493459776</v>
      </c>
      <c r="AB29" s="27" t="n">
        <f aca="false">IF(AND($A29&gt;=$B$6,$A29&lt;=$B$7),SUMPRODUCT(Bobot_Filter!$B$20:$B$32,AA23:AA35),"")</f>
        <v>276.763640866209</v>
      </c>
      <c r="AC29" s="25" t="n">
        <f aca="false">IF(ISNUMBER(AB29),AA29/AB29,"")</f>
        <v>1.03354794930616</v>
      </c>
      <c r="AD29" s="27" t="n">
        <f aca="false">$B$4+$B$3*A29</f>
        <v>278.023104067993</v>
      </c>
      <c r="AE29" s="27" t="n">
        <f aca="false">AD29*Z29</f>
        <v>256.593204131912</v>
      </c>
      <c r="AF29" s="28" t="n">
        <f aca="false">ABS(C29-AE29)/C29</f>
        <v>0.0280560449548803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Data!D23</f>
        <v>320</v>
      </c>
      <c r="D30" s="27" t="n">
        <f aca="false">IF(AND($A30&gt;=$B$6,$A30&lt;=$B$7),SUMPRODUCT(Bobot_Filter!$B$4:$B$16,C24:C36),"")</f>
        <v>276.458333333333</v>
      </c>
      <c r="E30" s="25" t="n">
        <f aca="false">IF(ISNUMBER(D30),C30/D30,"")</f>
        <v>1.15749811605124</v>
      </c>
      <c r="F30" s="25" t="str">
        <f aca="false">IF(AND($A30+(-24)&gt;=1,$A30+(-24)&lt;=$B$8),INDEX($E$12:$E$59,$A30+(-24)),"")</f>
        <v/>
      </c>
      <c r="G30" s="25" t="n">
        <f aca="false">IF(AND($A30+(-12)&gt;=1,$A30+(-12)&lt;=$B$8),INDEX($E$12:$E$59,$A30+(-12)),"")</f>
        <v>1.1337400281558</v>
      </c>
      <c r="H30" s="25" t="n">
        <f aca="false">IF(AND($A30+(0)&gt;=1,$A30+(0)&lt;=$B$8),INDEX($E$12:$E$59,$A30+(0)),"")</f>
        <v>1.15749811605124</v>
      </c>
      <c r="I30" s="25" t="n">
        <f aca="false">IF(AND($A30+(12)&gt;=1,$A30+(12)&lt;=$B$8),INDEX($E$12:$E$59,$A30+(12)),"")</f>
        <v>1.07588532883643</v>
      </c>
      <c r="J30" s="25" t="str">
        <f aca="false">IF(AND($A30+(24)&gt;=1,$A30+(24)&lt;=$B$8),INDEX($E$12:$E$59,$A30+(24)),"")</f>
        <v/>
      </c>
      <c r="K30" s="25" t="n">
        <f aca="false">IF(SUMPRODUCT(Bobot_Filter!$B$38:$F$38,ISNUMBER(F30:J30)*1)&gt;0,SUMPRODUCT(Bobot_Filter!$B$38:$F$38,F30:J30)/SUMPRODUCT(Bobot_Filter!$B$38:$F$38,ISNUMBER(F30:J30)*1),"")</f>
        <v>1.12739215173402</v>
      </c>
      <c r="L30" s="25" t="n">
        <f aca="false">IF(AND($A30&gt;=$B$6,$A30&lt;=$B$7),SUMPRODUCT(Bobot_Filter!$B$4:$B$16,K24:K36),"")</f>
        <v>0.997672574082799</v>
      </c>
      <c r="M30" s="25" t="n">
        <f aca="false">K30/INDEX($L$12:$L$59,MAX($B$6,MIN($A30,$B$7)))</f>
        <v>1.13002219467693</v>
      </c>
      <c r="N30" s="27" t="n">
        <f aca="false">C30/M30</f>
        <v>283.18027867717</v>
      </c>
      <c r="O30" s="27" t="n">
        <f aca="false">IF(AND($A30&gt;=$B$6,$A30&lt;=$B$7),SUMPRODUCT(Bobot_Filter!$B$20:$B$32,N24:N36),"")</f>
        <v>277.160003487193</v>
      </c>
      <c r="P30" s="25" t="n">
        <f aca="false">IF(ISNUMBER(O30),C30/O30,"")</f>
        <v>1.15456774416871</v>
      </c>
      <c r="Q30" s="25" t="str">
        <f aca="false">IF(AND($A30+(-36)&gt;=1,$A30+(-36)&lt;=$B$8),INDEX($P$12:$P$59,$A30+(-36)),"")</f>
        <v/>
      </c>
      <c r="R30" s="25" t="str">
        <f aca="false">IF(AND($A30+(-24)&gt;=1,$A30+(-24)&lt;=$B$8),INDEX($P$12:$P$59,$A30+(-24)),"")</f>
        <v/>
      </c>
      <c r="S30" s="25" t="n">
        <f aca="false">IF(AND($A30+(-12)&gt;=1,$A30+(-12)&lt;=$B$8),INDEX($P$12:$P$59,$A30+(-12)),"")</f>
        <v>1.12921738267664</v>
      </c>
      <c r="T30" s="25" t="n">
        <f aca="false">IF(AND($A30+(0)&gt;=1,$A30+(0)&lt;=$B$8),INDEX($P$12:$P$59,$A30+(0)),"")</f>
        <v>1.15456774416871</v>
      </c>
      <c r="U30" s="25" t="n">
        <f aca="false">IF(AND($A30+(12)&gt;=1,$A30+(12)&lt;=$B$8),INDEX($P$12:$P$59,$A30+(12)),"")</f>
        <v>1.06954908088927</v>
      </c>
      <c r="V30" s="25" t="str">
        <f aca="false">IF(AND($A30+(24)&gt;=1,$A30+(24)&lt;=$B$8),INDEX($P$12:$P$59,$A30+(24)),"")</f>
        <v/>
      </c>
      <c r="W30" s="25" t="str">
        <f aca="false">IF(AND($A30+(36)&gt;=1,$A30+(36)&lt;=$B$8),INDEX($P$12:$P$59,$A30+(36)),"")</f>
        <v/>
      </c>
      <c r="X30" s="25" t="n">
        <f aca="false">IF(SUMPRODUCT(Bobot_Filter!$B$43:$H$43,ISNUMBER(Q30:W30)*1)&gt;0,SUMPRODUCT(Bobot_Filter!$B$43:$H$43,Q30:W30)/SUMPRODUCT(Bobot_Filter!$B$43:$H$43,ISNUMBER(Q30:W30)*1),"")</f>
        <v>1.11777806924487</v>
      </c>
      <c r="Y30" s="25" t="n">
        <f aca="false">IF(AND($A30&gt;=$B$6,$A30&lt;=$B$7),SUMPRODUCT(Bobot_Filter!$B$4:$B$16,X24:X36),"")</f>
        <v>0.999565568710472</v>
      </c>
      <c r="Z30" s="33" t="n">
        <f aca="false">X30/INDEX($Y$12:$Y$59,MAX($B$6,MIN($A30,$B$7)))</f>
        <v>1.11826387806345</v>
      </c>
      <c r="AA30" s="27" t="n">
        <f aca="false">C30/Z30</f>
        <v>286.15786155425</v>
      </c>
      <c r="AB30" s="27" t="n">
        <f aca="false">IF(AND($A30&gt;=$B$6,$A30&lt;=$B$7),SUMPRODUCT(Bobot_Filter!$B$20:$B$32,AA24:AA36),"")</f>
        <v>277.373020557474</v>
      </c>
      <c r="AC30" s="25" t="n">
        <f aca="false">IF(ISNUMBER(AB30),AA30/AB30,"")</f>
        <v>1.03167157706658</v>
      </c>
      <c r="AD30" s="27" t="n">
        <f aca="false">$B$4+$B$3*A30</f>
        <v>279.264151248277</v>
      </c>
      <c r="AE30" s="27" t="n">
        <f aca="false">AD30*Z30</f>
        <v>312.291012778996</v>
      </c>
      <c r="AF30" s="28" t="n">
        <f aca="false">ABS(C30-AE30)/C30</f>
        <v>0.024090585065637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Data!D24</f>
        <v>278</v>
      </c>
      <c r="D31" s="27" t="n">
        <f aca="false">IF(AND($A31&gt;=$B$6,$A31&lt;=$B$7),SUMPRODUCT(Bobot_Filter!$B$4:$B$16,C25:C37),"")</f>
        <v>279.083333333333</v>
      </c>
      <c r="E31" s="25" t="n">
        <f aca="false">IF(ISNUMBER(D31),C31/D31,"")</f>
        <v>0.996118244252016</v>
      </c>
      <c r="F31" s="25" t="str">
        <f aca="false">IF(AND($A31+(-24)&gt;=1,$A31+(-24)&lt;=$B$8),INDEX($E$12:$E$59,$A31+(-24)),"")</f>
        <v/>
      </c>
      <c r="G31" s="25" t="n">
        <f aca="false">IF(AND($A31+(-12)&gt;=1,$A31+(-12)&lt;=$B$8),INDEX($E$12:$E$59,$A31+(-12)),"")</f>
        <v>1.07613264829519</v>
      </c>
      <c r="H31" s="25" t="n">
        <f aca="false">IF(AND($A31+(0)&gt;=1,$A31+(0)&lt;=$B$8),INDEX($E$12:$E$59,$A31+(0)),"")</f>
        <v>0.996118244252016</v>
      </c>
      <c r="I31" s="25" t="n">
        <f aca="false">IF(AND($A31+(12)&gt;=1,$A31+(12)&lt;=$B$8),INDEX($E$12:$E$59,$A31+(12)),"")</f>
        <v>1.12996898787708</v>
      </c>
      <c r="J31" s="25" t="str">
        <f aca="false">IF(AND($A31+(24)&gt;=1,$A31+(24)&lt;=$B$8),INDEX($E$12:$E$59,$A31+(24)),"")</f>
        <v/>
      </c>
      <c r="K31" s="25" t="n">
        <f aca="false">IF(SUMPRODUCT(Bobot_Filter!$B$38:$F$38,ISNUMBER(F31:J31)*1)&gt;0,SUMPRODUCT(Bobot_Filter!$B$38:$F$38,F31:J31)/SUMPRODUCT(Bobot_Filter!$B$38:$F$38,ISNUMBER(F31:J31)*1),"")</f>
        <v>1.05722257215723</v>
      </c>
      <c r="L31" s="25" t="n">
        <f aca="false">IF(AND($A31&gt;=$B$6,$A31&lt;=$B$7),SUMPRODUCT(Bobot_Filter!$B$4:$B$16,K25:K37),"")</f>
        <v>0.997909092706193</v>
      </c>
      <c r="M31" s="25" t="n">
        <f aca="false">K31/INDEX($L$12:$L$59,MAX($B$6,MIN($A31,$B$7)))</f>
        <v>1.05943775829338</v>
      </c>
      <c r="N31" s="27" t="n">
        <f aca="false">C31/M31</f>
        <v>262.403334055059</v>
      </c>
      <c r="O31" s="27" t="n">
        <f aca="false">IF(AND($A31&gt;=$B$6,$A31&lt;=$B$7),SUMPRODUCT(Bobot_Filter!$B$20:$B$32,N25:N37),"")</f>
        <v>276.641594370384</v>
      </c>
      <c r="P31" s="25" t="n">
        <f aca="false">IF(ISNUMBER(O31),C31/O31,"")</f>
        <v>1.00491034485507</v>
      </c>
      <c r="Q31" s="25" t="str">
        <f aca="false">IF(AND($A31+(-36)&gt;=1,$A31+(-36)&lt;=$B$8),INDEX($P$12:$P$59,$A31+(-36)),"")</f>
        <v/>
      </c>
      <c r="R31" s="25" t="str">
        <f aca="false">IF(AND($A31+(-24)&gt;=1,$A31+(-24)&lt;=$B$8),INDEX($P$12:$P$59,$A31+(-24)),"")</f>
        <v/>
      </c>
      <c r="S31" s="25" t="n">
        <f aca="false">IF(AND($A31+(-12)&gt;=1,$A31+(-12)&lt;=$B$8),INDEX($P$12:$P$59,$A31+(-12)),"")</f>
        <v>1.08331582074353</v>
      </c>
      <c r="T31" s="25" t="n">
        <f aca="false">IF(AND($A31+(0)&gt;=1,$A31+(0)&lt;=$B$8),INDEX($P$12:$P$59,$A31+(0)),"")</f>
        <v>1.00491034485507</v>
      </c>
      <c r="U31" s="25" t="n">
        <f aca="false">IF(AND($A31+(12)&gt;=1,$A31+(12)&lt;=$B$8),INDEX($P$12:$P$59,$A31+(12)),"")</f>
        <v>1.10837712003128</v>
      </c>
      <c r="V31" s="25" t="str">
        <f aca="false">IF(AND($A31+(24)&gt;=1,$A31+(24)&lt;=$B$8),INDEX($P$12:$P$59,$A31+(24)),"")</f>
        <v/>
      </c>
      <c r="W31" s="25" t="str">
        <f aca="false">IF(AND($A31+(36)&gt;=1,$A31+(36)&lt;=$B$8),INDEX($P$12:$P$59,$A31+(36)),"")</f>
        <v/>
      </c>
      <c r="X31" s="25" t="n">
        <f aca="false">IF(SUMPRODUCT(Bobot_Filter!$B$43:$H$43,ISNUMBER(Q31:W31)*1)&gt;0,SUMPRODUCT(Bobot_Filter!$B$43:$H$43,Q31:W31)/SUMPRODUCT(Bobot_Filter!$B$43:$H$43,ISNUMBER(Q31:W31)*1),"")</f>
        <v>1.06553442854329</v>
      </c>
      <c r="Y31" s="25" t="n">
        <f aca="false">IF(AND($A31&gt;=$B$6,$A31&lt;=$B$7),SUMPRODUCT(Bobot_Filter!$B$4:$B$16,X25:X37),"")</f>
        <v>0.999348810097351</v>
      </c>
      <c r="Z31" s="33" t="n">
        <f aca="false">X31/INDEX($Y$12:$Y$59,MAX($B$6,MIN($A31,$B$7)))</f>
        <v>1.06622874593656</v>
      </c>
      <c r="AA31" s="27" t="n">
        <f aca="false">C31/Z31</f>
        <v>260.732043719013</v>
      </c>
      <c r="AB31" s="27" t="n">
        <f aca="false">IF(AND($A31&gt;=$B$6,$A31&lt;=$B$7),SUMPRODUCT(Bobot_Filter!$B$20:$B$32,AA25:AA37),"")</f>
        <v>276.658797545404</v>
      </c>
      <c r="AC31" s="25" t="n">
        <f aca="false">IF(ISNUMBER(AB31),AA31/AB31,"")</f>
        <v>0.942431782514425</v>
      </c>
      <c r="AD31" s="27" t="n">
        <f aca="false">$B$4+$B$3*A31</f>
        <v>280.50519842856</v>
      </c>
      <c r="AE31" s="27" t="n">
        <f aca="false">AD31*Z31</f>
        <v>299.082705949171</v>
      </c>
      <c r="AF31" s="28" t="n">
        <f aca="false">ABS(C31-AE31)/C31</f>
        <v>0.0758370717596062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Data!D25</f>
        <v>254</v>
      </c>
      <c r="D32" s="27" t="n">
        <f aca="false">IF(AND($A32&gt;=$B$6,$A32&lt;=$B$7),SUMPRODUCT(Bobot_Filter!$B$4:$B$16,C26:C38),"")</f>
        <v>280.875</v>
      </c>
      <c r="E32" s="25" t="n">
        <f aca="false">IF(ISNUMBER(D32),C32/D32,"")</f>
        <v>0.904316866933689</v>
      </c>
      <c r="F32" s="25" t="str">
        <f aca="false">IF(AND($A32+(-24)&gt;=1,$A32+(-24)&lt;=$B$8),INDEX($E$12:$E$59,$A32+(-24)),"")</f>
        <v/>
      </c>
      <c r="G32" s="25" t="n">
        <f aca="false">IF(AND($A32+(-12)&gt;=1,$A32+(-12)&lt;=$B$8),INDEX($E$12:$E$59,$A32+(-12)),"")</f>
        <v>0.905380333951763</v>
      </c>
      <c r="H32" s="25" t="n">
        <f aca="false">IF(AND($A32+(0)&gt;=1,$A32+(0)&lt;=$B$8),INDEX($E$12:$E$59,$A32+(0)),"")</f>
        <v>0.904316866933689</v>
      </c>
      <c r="I32" s="25" t="n">
        <f aca="false">IF(AND($A32+(12)&gt;=1,$A32+(12)&lt;=$B$8),INDEX($E$12:$E$59,$A32+(12)),"")</f>
        <v>0.959594537519358</v>
      </c>
      <c r="J32" s="25" t="str">
        <f aca="false">IF(AND($A32+(24)&gt;=1,$A32+(24)&lt;=$B$8),INDEX($E$12:$E$59,$A32+(24)),"")</f>
        <v/>
      </c>
      <c r="K32" s="25" t="n">
        <f aca="false">IF(SUMPRODUCT(Bobot_Filter!$B$38:$F$38,ISNUMBER(F32:J32)*1)&gt;0,SUMPRODUCT(Bobot_Filter!$B$38:$F$38,F32:J32)/SUMPRODUCT(Bobot_Filter!$B$38:$F$38,ISNUMBER(F32:J32)*1),"")</f>
        <v>0.920414334820473</v>
      </c>
      <c r="L32" s="25" t="n">
        <f aca="false">IF(AND($A32&gt;=$B$6,$A32&lt;=$B$7),SUMPRODUCT(Bobot_Filter!$B$4:$B$16,K26:K38),"")</f>
        <v>0.997930896930923</v>
      </c>
      <c r="M32" s="25" t="n">
        <f aca="false">K32/INDEX($L$12:$L$59,MAX($B$6,MIN($A32,$B$7)))</f>
        <v>0.922322715581963</v>
      </c>
      <c r="N32" s="27" t="n">
        <f aca="false">C32/M32</f>
        <v>275.391677672963</v>
      </c>
      <c r="O32" s="27" t="n">
        <f aca="false">IF(AND($A32&gt;=$B$6,$A32&lt;=$B$7),SUMPRODUCT(Bobot_Filter!$B$20:$B$32,N26:N38),"")</f>
        <v>276.919050535223</v>
      </c>
      <c r="P32" s="25" t="n">
        <f aca="false">IF(ISNUMBER(O32),C32/O32,"")</f>
        <v>0.917235558583183</v>
      </c>
      <c r="Q32" s="25" t="str">
        <f aca="false">IF(AND($A32+(-36)&gt;=1,$A32+(-36)&lt;=$B$8),INDEX($P$12:$P$59,$A32+(-36)),"")</f>
        <v/>
      </c>
      <c r="R32" s="25" t="str">
        <f aca="false">IF(AND($A32+(-24)&gt;=1,$A32+(-24)&lt;=$B$8),INDEX($P$12:$P$59,$A32+(-24)),"")</f>
        <v/>
      </c>
      <c r="S32" s="25" t="n">
        <f aca="false">IF(AND($A32+(-12)&gt;=1,$A32+(-12)&lt;=$B$8),INDEX($P$12:$P$59,$A32+(-12)),"")</f>
        <v>0.918634352370541</v>
      </c>
      <c r="T32" s="25" t="n">
        <f aca="false">IF(AND($A32+(0)&gt;=1,$A32+(0)&lt;=$B$8),INDEX($P$12:$P$59,$A32+(0)),"")</f>
        <v>0.917235558583183</v>
      </c>
      <c r="U32" s="25" t="n">
        <f aca="false">IF(AND($A32+(12)&gt;=1,$A32+(12)&lt;=$B$8),INDEX($P$12:$P$59,$A32+(12)),"")</f>
        <v>0.939439210622214</v>
      </c>
      <c r="V32" s="25" t="str">
        <f aca="false">IF(AND($A32+(24)&gt;=1,$A32+(24)&lt;=$B$8),INDEX($P$12:$P$59,$A32+(24)),"")</f>
        <v/>
      </c>
      <c r="W32" s="25" t="str">
        <f aca="false">IF(AND($A32+(36)&gt;=1,$A32+(36)&lt;=$B$8),INDEX($P$12:$P$59,$A32+(36)),"")</f>
        <v/>
      </c>
      <c r="X32" s="25" t="n">
        <f aca="false">IF(SUMPRODUCT(Bobot_Filter!$B$43:$H$43,ISNUMBER(Q32:W32)*1)&gt;0,SUMPRODUCT(Bobot_Filter!$B$43:$H$43,Q32:W32)/SUMPRODUCT(Bobot_Filter!$B$43:$H$43,ISNUMBER(Q32:W32)*1),"")</f>
        <v>0.925103040525313</v>
      </c>
      <c r="Y32" s="25" t="n">
        <f aca="false">IF(AND($A32&gt;=$B$6,$A32&lt;=$B$7),SUMPRODUCT(Bobot_Filter!$B$4:$B$16,X26:X38),"")</f>
        <v>0.9993271100359</v>
      </c>
      <c r="Z32" s="33" t="n">
        <f aca="false">X32/INDEX($Y$12:$Y$59,MAX($B$6,MIN($A32,$B$7)))</f>
        <v>0.925725952228074</v>
      </c>
      <c r="AA32" s="27" t="n">
        <f aca="false">C32/Z32</f>
        <v>274.37925812565</v>
      </c>
      <c r="AB32" s="27" t="n">
        <f aca="false">IF(AND($A32&gt;=$B$6,$A32&lt;=$B$7),SUMPRODUCT(Bobot_Filter!$B$20:$B$32,AA26:AA38),"")</f>
        <v>276.623438839191</v>
      </c>
      <c r="AC32" s="25" t="n">
        <f aca="false">IF(ISNUMBER(AB32),AA32/AB32,"")</f>
        <v>0.991887235864906</v>
      </c>
      <c r="AD32" s="27" t="n">
        <f aca="false">$B$4+$B$3*A32</f>
        <v>281.746245608844</v>
      </c>
      <c r="AE32" s="27" t="n">
        <f aca="false">AD32*Z32</f>
        <v>260.819811502932</v>
      </c>
      <c r="AF32" s="28" t="n">
        <f aca="false">ABS(C32-AE32)/C32</f>
        <v>0.0268496515863471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Data!D26</f>
        <v>297</v>
      </c>
      <c r="D33" s="27" t="n">
        <f aca="false">IF(AND($A33&gt;=$B$6,$A33&lt;=$B$7),SUMPRODUCT(Bobot_Filter!$B$4:$B$16,C27:C39),"")</f>
        <v>282.541666666667</v>
      </c>
      <c r="E33" s="25" t="n">
        <f aca="false">IF(ISNUMBER(D33),C33/D33,"")</f>
        <v>1.05117239345229</v>
      </c>
      <c r="F33" s="25" t="str">
        <f aca="false">IF(AND($A33+(-24)&gt;=1,$A33+(-24)&lt;=$B$8),INDEX($E$12:$E$59,$A33+(-24)),"")</f>
        <v/>
      </c>
      <c r="G33" s="25" t="n">
        <f aca="false">IF(AND($A33+(-12)&gt;=1,$A33+(-12)&lt;=$B$8),INDEX($E$12:$E$59,$A33+(-12)),"")</f>
        <v>0.909567092897859</v>
      </c>
      <c r="H33" s="25" t="n">
        <f aca="false">IF(AND($A33+(0)&gt;=1,$A33+(0)&lt;=$B$8),INDEX($E$12:$E$59,$A33+(0)),"")</f>
        <v>1.05117239345229</v>
      </c>
      <c r="I33" s="25" t="n">
        <f aca="false">IF(AND($A33+(12)&gt;=1,$A33+(12)&lt;=$B$8),INDEX($E$12:$E$59,$A33+(12)),"")</f>
        <v>1.20352990614932</v>
      </c>
      <c r="J33" s="25" t="str">
        <f aca="false">IF(AND($A33+(24)&gt;=1,$A33+(24)&lt;=$B$8),INDEX($E$12:$E$59,$A33+(24)),"")</f>
        <v/>
      </c>
      <c r="K33" s="25" t="n">
        <f aca="false">IF(SUMPRODUCT(Bobot_Filter!$B$38:$F$38,ISNUMBER(F33:J33)*1)&gt;0,SUMPRODUCT(Bobot_Filter!$B$38:$F$38,F33:J33)/SUMPRODUCT(Bobot_Filter!$B$38:$F$38,ISNUMBER(F33:J33)*1),"")</f>
        <v>1.05424445406446</v>
      </c>
      <c r="L33" s="25" t="n">
        <f aca="false">IF(AND($A33&gt;=$B$6,$A33&lt;=$B$7),SUMPRODUCT(Bobot_Filter!$B$4:$B$16,K27:K39),"")</f>
        <v>0.99830233405694</v>
      </c>
      <c r="M33" s="25" t="n">
        <f aca="false">K33/INDEX($L$12:$L$59,MAX($B$6,MIN($A33,$B$7)))</f>
        <v>1.05603725254271</v>
      </c>
      <c r="N33" s="27" t="n">
        <f aca="false">C33/M33</f>
        <v>281.240078685566</v>
      </c>
      <c r="O33" s="27" t="n">
        <f aca="false">IF(AND($A33&gt;=$B$6,$A33&lt;=$B$7),SUMPRODUCT(Bobot_Filter!$B$20:$B$32,N27:N39),"")</f>
        <v>278.440440264189</v>
      </c>
      <c r="P33" s="25" t="n">
        <f aca="false">IF(ISNUMBER(O33),C33/O33,"")</f>
        <v>1.0666554029228</v>
      </c>
      <c r="Q33" s="25" t="str">
        <f aca="false">IF(AND($A33+(-36)&gt;=1,$A33+(-36)&lt;=$B$8),INDEX($P$12:$P$59,$A33+(-36)),"")</f>
        <v/>
      </c>
      <c r="R33" s="25" t="str">
        <f aca="false">IF(AND($A33+(-24)&gt;=1,$A33+(-24)&lt;=$B$8),INDEX($P$12:$P$59,$A33+(-24)),"")</f>
        <v/>
      </c>
      <c r="S33" s="25" t="n">
        <f aca="false">IF(AND($A33+(-12)&gt;=1,$A33+(-12)&lt;=$B$8),INDEX($P$12:$P$59,$A33+(-12)),"")</f>
        <v>0.919843176461566</v>
      </c>
      <c r="T33" s="25" t="n">
        <f aca="false">IF(AND($A33+(0)&gt;=1,$A33+(0)&lt;=$B$8),INDEX($P$12:$P$59,$A33+(0)),"")</f>
        <v>1.0666554029228</v>
      </c>
      <c r="U33" s="25" t="n">
        <f aca="false">IF(AND($A33+(12)&gt;=1,$A33+(12)&lt;=$B$8),INDEX($P$12:$P$59,$A33+(12)),"")</f>
        <v>1.19054516367326</v>
      </c>
      <c r="V33" s="25" t="str">
        <f aca="false">IF(AND($A33+(24)&gt;=1,$A33+(24)&lt;=$B$8),INDEX($P$12:$P$59,$A33+(24)),"")</f>
        <v/>
      </c>
      <c r="W33" s="25" t="str">
        <f aca="false">IF(AND($A33+(36)&gt;=1,$A33+(36)&lt;=$B$8),INDEX($P$12:$P$59,$A33+(36)),"")</f>
        <v/>
      </c>
      <c r="X33" s="25" t="n">
        <f aca="false">IF(SUMPRODUCT(Bobot_Filter!$B$43:$H$43,ISNUMBER(Q33:W33)*1)&gt;0,SUMPRODUCT(Bobot_Filter!$B$43:$H$43,Q33:W33)/SUMPRODUCT(Bobot_Filter!$B$43:$H$43,ISNUMBER(Q33:W33)*1),"")</f>
        <v>1.05901458101921</v>
      </c>
      <c r="Y33" s="25" t="n">
        <f aca="false">IF(AND($A33&gt;=$B$6,$A33&lt;=$B$7),SUMPRODUCT(Bobot_Filter!$B$4:$B$16,X27:X39),"")</f>
        <v>0.999540298533117</v>
      </c>
      <c r="Z33" s="33" t="n">
        <f aca="false">X33/INDEX($Y$12:$Y$59,MAX($B$6,MIN($A33,$B$7)))</f>
        <v>1.0595016354752</v>
      </c>
      <c r="AA33" s="27" t="n">
        <f aca="false">C33/Z33</f>
        <v>280.320473376892</v>
      </c>
      <c r="AB33" s="27" t="n">
        <f aca="false">IF(AND($A33&gt;=$B$6,$A33&lt;=$B$7),SUMPRODUCT(Bobot_Filter!$B$20:$B$32,AA27:AA39),"")</f>
        <v>277.921721736456</v>
      </c>
      <c r="AC33" s="25" t="n">
        <f aca="false">IF(ISNUMBER(AB33),AA33/AB33,"")</f>
        <v>1.0086310333192</v>
      </c>
      <c r="AD33" s="27" t="n">
        <f aca="false">$B$4+$B$3*A33</f>
        <v>282.987292789128</v>
      </c>
      <c r="AE33" s="27" t="n">
        <f aca="false">AD33*Z33</f>
        <v>299.825499528781</v>
      </c>
      <c r="AF33" s="28" t="n">
        <f aca="false">ABS(C33-AE33)/C33</f>
        <v>0.00951346642687357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Data!D27</f>
        <v>352</v>
      </c>
      <c r="D34" s="27" t="n">
        <f aca="false">IF(AND($A34&gt;=$B$6,$A34&lt;=$B$7),SUMPRODUCT(Bobot_Filter!$B$4:$B$16,C28:C40),"")</f>
        <v>284.25</v>
      </c>
      <c r="E34" s="25" t="n">
        <f aca="false">IF(ISNUMBER(D34),C34/D34,"")</f>
        <v>1.23834652594547</v>
      </c>
      <c r="F34" s="25" t="str">
        <f aca="false">IF(AND($A34+(-24)&gt;=1,$A34+(-24)&lt;=$B$8),INDEX($E$12:$E$59,$A34+(-24)),"")</f>
        <v/>
      </c>
      <c r="G34" s="25" t="n">
        <f aca="false">IF(AND($A34+(-12)&gt;=1,$A34+(-12)&lt;=$B$8),INDEX($E$12:$E$59,$A34+(-12)),"")</f>
        <v>1.28227300802965</v>
      </c>
      <c r="H34" s="25" t="n">
        <f aca="false">IF(AND($A34+(0)&gt;=1,$A34+(0)&lt;=$B$8),INDEX($E$12:$E$59,$A34+(0)),"")</f>
        <v>1.23834652594547</v>
      </c>
      <c r="I34" s="25" t="n">
        <f aca="false">IF(AND($A34+(12)&gt;=1,$A34+(12)&lt;=$B$8),INDEX($E$12:$E$59,$A34+(12)),"")</f>
        <v>1.07327946503204</v>
      </c>
      <c r="J34" s="25" t="str">
        <f aca="false">IF(AND($A34+(24)&gt;=1,$A34+(24)&lt;=$B$8),INDEX($E$12:$E$59,$A34+(24)),"")</f>
        <v/>
      </c>
      <c r="K34" s="25" t="n">
        <f aca="false">IF(SUMPRODUCT(Bobot_Filter!$B$38:$F$38,ISNUMBER(F34:J34)*1)&gt;0,SUMPRODUCT(Bobot_Filter!$B$38:$F$38,F34:J34)/SUMPRODUCT(Bobot_Filter!$B$38:$F$38,ISNUMBER(F34:J34)*1),"")</f>
        <v>1.20373493199426</v>
      </c>
      <c r="L34" s="25" t="n">
        <f aca="false">IF(AND($A34&gt;=$B$6,$A34&lt;=$B$7),SUMPRODUCT(Bobot_Filter!$B$4:$B$16,K28:K40),"")</f>
        <v>0.998773462079477</v>
      </c>
      <c r="M34" s="25" t="n">
        <f aca="false">K34/INDEX($L$12:$L$59,MAX($B$6,MIN($A34,$B$7)))</f>
        <v>1.2052131716516</v>
      </c>
      <c r="N34" s="27" t="n">
        <f aca="false">C34/M34</f>
        <v>292.064514626592</v>
      </c>
      <c r="O34" s="27" t="n">
        <f aca="false">IF(AND($A34&gt;=$B$6,$A34&lt;=$B$7),SUMPRODUCT(Bobot_Filter!$B$20:$B$32,N28:N40),"")</f>
        <v>281.404819898058</v>
      </c>
      <c r="P34" s="25" t="n">
        <f aca="false">IF(ISNUMBER(O34),C34/O34,"")</f>
        <v>1.25086698986718</v>
      </c>
      <c r="Q34" s="25" t="str">
        <f aca="false">IF(AND($A34+(-36)&gt;=1,$A34+(-36)&lt;=$B$8),INDEX($P$12:$P$59,$A34+(-36)),"")</f>
        <v/>
      </c>
      <c r="R34" s="25" t="str">
        <f aca="false">IF(AND($A34+(-24)&gt;=1,$A34+(-24)&lt;=$B$8),INDEX($P$12:$P$59,$A34+(-24)),"")</f>
        <v/>
      </c>
      <c r="S34" s="25" t="n">
        <f aca="false">IF(AND($A34+(-12)&gt;=1,$A34+(-12)&lt;=$B$8),INDEX($P$12:$P$59,$A34+(-12)),"")</f>
        <v>1.27935507085558</v>
      </c>
      <c r="T34" s="25" t="n">
        <f aca="false">IF(AND($A34+(0)&gt;=1,$A34+(0)&lt;=$B$8),INDEX($P$12:$P$59,$A34+(0)),"")</f>
        <v>1.25086698986718</v>
      </c>
      <c r="U34" s="25" t="n">
        <f aca="false">IF(AND($A34+(12)&gt;=1,$A34+(12)&lt;=$B$8),INDEX($P$12:$P$59,$A34+(12)),"")</f>
        <v>1.07831380522376</v>
      </c>
      <c r="V34" s="25" t="str">
        <f aca="false">IF(AND($A34+(24)&gt;=1,$A34+(24)&lt;=$B$8),INDEX($P$12:$P$59,$A34+(24)),"")</f>
        <v/>
      </c>
      <c r="W34" s="25" t="str">
        <f aca="false">IF(AND($A34+(36)&gt;=1,$A34+(36)&lt;=$B$8),INDEX($P$12:$P$59,$A34+(36)),"")</f>
        <v/>
      </c>
      <c r="X34" s="25" t="n">
        <f aca="false">IF(SUMPRODUCT(Bobot_Filter!$B$43:$H$43,ISNUMBER(Q34:W34)*1)&gt;0,SUMPRODUCT(Bobot_Filter!$B$43:$H$43,Q34:W34)/SUMPRODUCT(Bobot_Filter!$B$43:$H$43,ISNUMBER(Q34:W34)*1),"")</f>
        <v>1.20284528864884</v>
      </c>
      <c r="Y34" s="25" t="n">
        <f aca="false">IF(AND($A34&gt;=$B$6,$A34&lt;=$B$7),SUMPRODUCT(Bobot_Filter!$B$4:$B$16,X28:X40),"")</f>
        <v>0.999732847173759</v>
      </c>
      <c r="Z34" s="33" t="n">
        <f aca="false">X34/INDEX($Y$12:$Y$59,MAX($B$6,MIN($A34,$B$7)))</f>
        <v>1.203166718038</v>
      </c>
      <c r="AA34" s="27" t="n">
        <f aca="false">C34/Z34</f>
        <v>292.56128408705</v>
      </c>
      <c r="AB34" s="27" t="n">
        <f aca="false">IF(AND($A34&gt;=$B$6,$A34&lt;=$B$7),SUMPRODUCT(Bobot_Filter!$B$20:$B$32,AA28:AA40),"")</f>
        <v>280.990663283668</v>
      </c>
      <c r="AC34" s="25" t="n">
        <f aca="false">IF(ISNUMBER(AB34),AA34/AB34,"")</f>
        <v>1.04117795469845</v>
      </c>
      <c r="AD34" s="27" t="n">
        <f aca="false">$B$4+$B$3*A34</f>
        <v>284.228339969412</v>
      </c>
      <c r="AE34" s="27" t="n">
        <f aca="false">AD34*Z34</f>
        <v>341.974078974387</v>
      </c>
      <c r="AF34" s="28" t="n">
        <f aca="false">ABS(C34-AE34)/C34</f>
        <v>0.0284827301863999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Data!D28</f>
        <v>261</v>
      </c>
      <c r="D35" s="27" t="n">
        <f aca="false">IF(AND($A35&gt;=$B$6,$A35&lt;=$B$7),SUMPRODUCT(Bobot_Filter!$B$4:$B$16,C29:C41),"")</f>
        <v>284.666666666667</v>
      </c>
      <c r="E35" s="25" t="n">
        <f aca="false">IF(ISNUMBER(D35),C35/D35,"")</f>
        <v>0.916861826697892</v>
      </c>
      <c r="F35" s="25" t="str">
        <f aca="false">IF(AND($A35+(-24)&gt;=1,$A35+(-24)&lt;=$B$8),INDEX($E$12:$E$59,$A35+(-24)),"")</f>
        <v/>
      </c>
      <c r="G35" s="25" t="n">
        <f aca="false">IF(AND($A35+(-12)&gt;=1,$A35+(-12)&lt;=$B$8),INDEX($E$12:$E$59,$A35+(-12)),"")</f>
        <v>1.06756964752963</v>
      </c>
      <c r="H35" s="25" t="n">
        <f aca="false">IF(AND($A35+(0)&gt;=1,$A35+(0)&lt;=$B$8),INDEX($E$12:$E$59,$A35+(0)),"")</f>
        <v>0.916861826697892</v>
      </c>
      <c r="I35" s="25" t="n">
        <f aca="false">IF(AND($A35+(12)&gt;=1,$A35+(12)&lt;=$B$8),INDEX($E$12:$E$59,$A35+(12)),"")</f>
        <v>0.948419301164726</v>
      </c>
      <c r="J35" s="25" t="str">
        <f aca="false">IF(AND($A35+(24)&gt;=1,$A35+(24)&lt;=$B$8),INDEX($E$12:$E$59,$A35+(24)),"")</f>
        <v/>
      </c>
      <c r="K35" s="25" t="n">
        <f aca="false">IF(SUMPRODUCT(Bobot_Filter!$B$38:$F$38,ISNUMBER(F35:J35)*1)&gt;0,SUMPRODUCT(Bobot_Filter!$B$38:$F$38,F35:J35)/SUMPRODUCT(Bobot_Filter!$B$38:$F$38,ISNUMBER(F35:J35)*1),"")</f>
        <v>0.968937625354627</v>
      </c>
      <c r="L35" s="25" t="n">
        <f aca="false">IF(AND($A35&gt;=$B$6,$A35&lt;=$B$7),SUMPRODUCT(Bobot_Filter!$B$4:$B$16,K29:K41),"")</f>
        <v>0.99816982500633</v>
      </c>
      <c r="M35" s="25" t="n">
        <f aca="false">K35/INDEX($L$12:$L$59,MAX($B$6,MIN($A35,$B$7)))</f>
        <v>0.970714202213518</v>
      </c>
      <c r="N35" s="27" t="n">
        <f aca="false">C35/M35</f>
        <v>268.874195313968</v>
      </c>
      <c r="O35" s="27" t="n">
        <f aca="false">IF(AND($A35&gt;=$B$6,$A35&lt;=$B$7),SUMPRODUCT(Bobot_Filter!$B$20:$B$32,N29:N41),"")</f>
        <v>285.2870865945</v>
      </c>
      <c r="P35" s="25" t="n">
        <f aca="false">IF(ISNUMBER(O35),C35/O35,"")</f>
        <v>0.914867907677078</v>
      </c>
      <c r="Q35" s="25" t="str">
        <f aca="false">IF(AND($A35+(-36)&gt;=1,$A35+(-36)&lt;=$B$8),INDEX($P$12:$P$59,$A35+(-36)),"")</f>
        <v/>
      </c>
      <c r="R35" s="25" t="str">
        <f aca="false">IF(AND($A35+(-24)&gt;=1,$A35+(-24)&lt;=$B$8),INDEX($P$12:$P$59,$A35+(-24)),"")</f>
        <v/>
      </c>
      <c r="S35" s="25" t="n">
        <f aca="false">IF(AND($A35+(-12)&gt;=1,$A35+(-12)&lt;=$B$8),INDEX($P$12:$P$59,$A35+(-12)),"")</f>
        <v>1.06078141166518</v>
      </c>
      <c r="T35" s="25" t="n">
        <f aca="false">IF(AND($A35+(0)&gt;=1,$A35+(0)&lt;=$B$8),INDEX($P$12:$P$59,$A35+(0)),"")</f>
        <v>0.914867907677078</v>
      </c>
      <c r="U35" s="25" t="n">
        <f aca="false">IF(AND($A35+(12)&gt;=1,$A35+(12)&lt;=$B$8),INDEX($P$12:$P$59,$A35+(12)),"")</f>
        <v>0.965907405115052</v>
      </c>
      <c r="V35" s="25" t="str">
        <f aca="false">IF(AND($A35+(24)&gt;=1,$A35+(24)&lt;=$B$8),INDEX($P$12:$P$59,$A35+(24)),"")</f>
        <v/>
      </c>
      <c r="W35" s="25" t="str">
        <f aca="false">IF(AND($A35+(36)&gt;=1,$A35+(36)&lt;=$B$8),INDEX($P$12:$P$59,$A35+(36)),"")</f>
        <v/>
      </c>
      <c r="X35" s="25" t="n">
        <f aca="false">IF(SUMPRODUCT(Bobot_Filter!$B$43:$H$43,ISNUMBER(Q35:W35)*1)&gt;0,SUMPRODUCT(Bobot_Filter!$B$43:$H$43,Q35:W35)/SUMPRODUCT(Bobot_Filter!$B$43:$H$43,ISNUMBER(Q35:W35)*1),"")</f>
        <v>0.980518908152438</v>
      </c>
      <c r="Y35" s="25" t="n">
        <f aca="false">IF(AND($A35&gt;=$B$6,$A35&lt;=$B$7),SUMPRODUCT(Bobot_Filter!$B$4:$B$16,X29:X41),"")</f>
        <v>0.999648440498644</v>
      </c>
      <c r="Z35" s="33" t="n">
        <f aca="false">X35/INDEX($Y$12:$Y$59,MAX($B$6,MIN($A35,$B$7)))</f>
        <v>0.980863740119813</v>
      </c>
      <c r="AA35" s="27" t="n">
        <f aca="false">C35/Z35</f>
        <v>266.092005774542</v>
      </c>
      <c r="AB35" s="27" t="n">
        <f aca="false">IF(AND($A35&gt;=$B$6,$A35&lt;=$B$7),SUMPRODUCT(Bobot_Filter!$B$20:$B$32,AA29:AA41),"")</f>
        <v>285.267070450791</v>
      </c>
      <c r="AC35" s="25" t="n">
        <f aca="false">IF(ISNUMBER(AB35),AA35/AB35,"")</f>
        <v>0.932782060523326</v>
      </c>
      <c r="AD35" s="27" t="n">
        <f aca="false">$B$4+$B$3*A35</f>
        <v>285.469387149696</v>
      </c>
      <c r="AE35" s="27" t="n">
        <f aca="false">AD35*Z35</f>
        <v>280.006570769362</v>
      </c>
      <c r="AF35" s="28" t="n">
        <f aca="false">ABS(C35-AE35)/C35</f>
        <v>0.0728221102274403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Data!D29</f>
        <v>272</v>
      </c>
      <c r="D36" s="27" t="n">
        <f aca="false">IF(AND($A36&gt;=$B$6,$A36&lt;=$B$7),SUMPRODUCT(Bobot_Filter!$B$4:$B$16,C30:C42),"")</f>
        <v>284.958333333333</v>
      </c>
      <c r="E36" s="25" t="n">
        <f aca="false">IF(ISNUMBER(D36),C36/D36,"")</f>
        <v>0.954525515426232</v>
      </c>
      <c r="F36" s="25" t="str">
        <f aca="false">IF(AND($A36+(-24)&gt;=1,$A36+(-24)&lt;=$B$8),INDEX($E$12:$E$59,$A36+(-24)),"")</f>
        <v/>
      </c>
      <c r="G36" s="25" t="n">
        <f aca="false">IF(AND($A36+(-12)&gt;=1,$A36+(-12)&lt;=$B$8),INDEX($E$12:$E$59,$A36+(-12)),"")</f>
        <v>0.921382685836647</v>
      </c>
      <c r="H36" s="25" t="n">
        <f aca="false">IF(AND($A36+(0)&gt;=1,$A36+(0)&lt;=$B$8),INDEX($E$12:$E$59,$A36+(0)),"")</f>
        <v>0.954525515426232</v>
      </c>
      <c r="I36" s="25" t="n">
        <f aca="false">IF(AND($A36+(12)&gt;=1,$A36+(12)&lt;=$B$8),INDEX($E$12:$E$59,$A36+(12)),"")</f>
        <v>0.895646164478231</v>
      </c>
      <c r="J36" s="25" t="str">
        <f aca="false">IF(AND($A36+(24)&gt;=1,$A36+(24)&lt;=$B$8),INDEX($E$12:$E$59,$A36+(24)),"")</f>
        <v/>
      </c>
      <c r="K36" s="25" t="n">
        <f aca="false">IF(SUMPRODUCT(Bobot_Filter!$B$38:$F$38,ISNUMBER(F36:J36)*1)&gt;0,SUMPRODUCT(Bobot_Filter!$B$38:$F$38,F36:J36)/SUMPRODUCT(Bobot_Filter!$B$38:$F$38,ISNUMBER(F36:J36)*1),"")</f>
        <v>0.928233463844065</v>
      </c>
      <c r="L36" s="25" t="n">
        <f aca="false">IF(AND($A36&gt;=$B$6,$A36&lt;=$B$7),SUMPRODUCT(Bobot_Filter!$B$4:$B$16,K30:K42),"")</f>
        <v>0.99706651564463</v>
      </c>
      <c r="M36" s="25" t="n">
        <f aca="false">K36/INDEX($L$12:$L$59,MAX($B$6,MIN($A36,$B$7)))</f>
        <v>0.930964433444982</v>
      </c>
      <c r="N36" s="27" t="n">
        <f aca="false">C36/M36</f>
        <v>292.170130488744</v>
      </c>
      <c r="O36" s="27" t="n">
        <f aca="false">IF(AND($A36&gt;=$B$6,$A36&lt;=$B$7),SUMPRODUCT(Bobot_Filter!$B$20:$B$32,N30:N42),"")</f>
        <v>288.855424050513</v>
      </c>
      <c r="P36" s="25" t="n">
        <f aca="false">IF(ISNUMBER(O36),C36/O36,"")</f>
        <v>0.941647541825058</v>
      </c>
      <c r="Q36" s="25" t="str">
        <f aca="false">IF(AND($A36+(-36)&gt;=1,$A36+(-36)&lt;=$B$8),INDEX($P$12:$P$59,$A36+(-36)),"")</f>
        <v/>
      </c>
      <c r="R36" s="25" t="str">
        <f aca="false">IF(AND($A36+(-24)&gt;=1,$A36+(-24)&lt;=$B$8),INDEX($P$12:$P$59,$A36+(-24)),"")</f>
        <v/>
      </c>
      <c r="S36" s="25" t="n">
        <f aca="false">IF(AND($A36+(-12)&gt;=1,$A36+(-12)&lt;=$B$8),INDEX($P$12:$P$59,$A36+(-12)),"")</f>
        <v>0.918819368317907</v>
      </c>
      <c r="T36" s="25" t="n">
        <f aca="false">IF(AND($A36+(0)&gt;=1,$A36+(0)&lt;=$B$8),INDEX($P$12:$P$59,$A36+(0)),"")</f>
        <v>0.941647541825058</v>
      </c>
      <c r="U36" s="25" t="n">
        <f aca="false">IF(AND($A36+(12)&gt;=1,$A36+(12)&lt;=$B$8),INDEX($P$12:$P$59,$A36+(12)),"")</f>
        <v>0.915613253838038</v>
      </c>
      <c r="V36" s="25" t="str">
        <f aca="false">IF(AND($A36+(24)&gt;=1,$A36+(24)&lt;=$B$8),INDEX($P$12:$P$59,$A36+(24)),"")</f>
        <v/>
      </c>
      <c r="W36" s="25" t="str">
        <f aca="false">IF(AND($A36+(36)&gt;=1,$A36+(36)&lt;=$B$8),INDEX($P$12:$P$59,$A36+(36)),"")</f>
        <v/>
      </c>
      <c r="X36" s="25" t="n">
        <f aca="false">IF(SUMPRODUCT(Bobot_Filter!$B$43:$H$43,ISNUMBER(Q36:W36)*1)&gt;0,SUMPRODUCT(Bobot_Filter!$B$43:$H$43,Q36:W36)/SUMPRODUCT(Bobot_Filter!$B$43:$H$43,ISNUMBER(Q36:W36)*1),"")</f>
        <v>0.925360054660334</v>
      </c>
      <c r="Y36" s="25" t="n">
        <f aca="false">IF(AND($A36&gt;=$B$6,$A36&lt;=$B$7),SUMPRODUCT(Bobot_Filter!$B$4:$B$16,X30:X42),"")</f>
        <v>0.999380799958592</v>
      </c>
      <c r="Z36" s="33" t="n">
        <f aca="false">X36/INDEX($Y$12:$Y$59,MAX($B$6,MIN($A36,$B$7)))</f>
        <v>0.925933392655407</v>
      </c>
      <c r="AA36" s="27" t="n">
        <f aca="false">C36/Z36</f>
        <v>293.757631118534</v>
      </c>
      <c r="AB36" s="27" t="n">
        <f aca="false">IF(AND($A36&gt;=$B$6,$A36&lt;=$B$7),SUMPRODUCT(Bobot_Filter!$B$20:$B$32,AA30:AA42),"")</f>
        <v>289.183804955959</v>
      </c>
      <c r="AC36" s="25" t="n">
        <f aca="false">IF(ISNUMBER(AB36),AA36/AB36,"")</f>
        <v>1.01581632886832</v>
      </c>
      <c r="AD36" s="27" t="n">
        <f aca="false">$B$4+$B$3*A36</f>
        <v>286.71043432998</v>
      </c>
      <c r="AE36" s="27" t="n">
        <f aca="false">AD36*Z36</f>
        <v>265.474765168864</v>
      </c>
      <c r="AF36" s="28" t="n">
        <f aca="false">ABS(C36-AE36)/C36</f>
        <v>0.0239898339380006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Data!D30</f>
        <v>319</v>
      </c>
      <c r="D37" s="27" t="n">
        <f aca="false">IF(AND($A37&gt;=$B$6,$A37&lt;=$B$7),SUMPRODUCT(Bobot_Filter!$B$4:$B$16,C31:C43),"")</f>
        <v>287.25</v>
      </c>
      <c r="E37" s="25" t="n">
        <f aca="false">IF(ISNUMBER(D37),C37/D37,"")</f>
        <v>1.11053089643168</v>
      </c>
      <c r="F37" s="25" t="str">
        <f aca="false">IF(AND($A37+(-24)&gt;=1,$A37+(-24)&lt;=$B$8),INDEX($E$12:$E$59,$A37+(-24)),"")</f>
        <v/>
      </c>
      <c r="G37" s="25" t="n">
        <f aca="false">IF(AND($A37+(-12)&gt;=1,$A37+(-12)&lt;=$B$8),INDEX($E$12:$E$59,$A37+(-12)),"")</f>
        <v>1.01558203483043</v>
      </c>
      <c r="H37" s="25" t="n">
        <f aca="false">IF(AND($A37+(0)&gt;=1,$A37+(0)&lt;=$B$8),INDEX($E$12:$E$59,$A37+(0)),"")</f>
        <v>1.11053089643168</v>
      </c>
      <c r="I37" s="25" t="n">
        <f aca="false">IF(AND($A37+(12)&gt;=1,$A37+(12)&lt;=$B$8),INDEX($E$12:$E$59,$A37+(12)),"")</f>
        <v>0.9865273577124</v>
      </c>
      <c r="J37" s="25" t="str">
        <f aca="false">IF(AND($A37+(24)&gt;=1,$A37+(24)&lt;=$B$8),INDEX($E$12:$E$59,$A37+(24)),"")</f>
        <v/>
      </c>
      <c r="K37" s="25" t="n">
        <f aca="false">IF(SUMPRODUCT(Bobot_Filter!$B$38:$F$38,ISNUMBER(F37:J37)*1)&gt;0,SUMPRODUCT(Bobot_Filter!$B$38:$F$38,F37:J37)/SUMPRODUCT(Bobot_Filter!$B$38:$F$38,ISNUMBER(F37:J37)*1),"")</f>
        <v>1.04797306776867</v>
      </c>
      <c r="L37" s="25" t="n">
        <f aca="false">IF(AND($A37&gt;=$B$6,$A37&lt;=$B$7),SUMPRODUCT(Bobot_Filter!$B$4:$B$16,K31:K43),"")</f>
        <v>0.997253876782481</v>
      </c>
      <c r="M37" s="25" t="n">
        <f aca="false">K37/INDEX($L$12:$L$59,MAX($B$6,MIN($A37,$B$7)))</f>
        <v>1.05085885567056</v>
      </c>
      <c r="N37" s="27" t="n">
        <f aca="false">C37/M37</f>
        <v>303.561223544567</v>
      </c>
      <c r="O37" s="27" t="n">
        <f aca="false">IF(AND($A37&gt;=$B$6,$A37&lt;=$B$7),SUMPRODUCT(Bobot_Filter!$B$20:$B$32,N31:N43),"")</f>
        <v>290.926189282836</v>
      </c>
      <c r="P37" s="25" t="n">
        <f aca="false">IF(ISNUMBER(O37),C37/O37,"")</f>
        <v>1.09649805260355</v>
      </c>
      <c r="Q37" s="25" t="str">
        <f aca="false">IF(AND($A37+(-36)&gt;=1,$A37+(-36)&lt;=$B$8),INDEX($P$12:$P$59,$A37+(-36)),"")</f>
        <v/>
      </c>
      <c r="R37" s="25" t="str">
        <f aca="false">IF(AND($A37+(-24)&gt;=1,$A37+(-24)&lt;=$B$8),INDEX($P$12:$P$59,$A37+(-24)),"")</f>
        <v/>
      </c>
      <c r="S37" s="25" t="n">
        <f aca="false">IF(AND($A37+(-12)&gt;=1,$A37+(-12)&lt;=$B$8),INDEX($P$12:$P$59,$A37+(-12)),"")</f>
        <v>1.01110699819666</v>
      </c>
      <c r="T37" s="25" t="n">
        <f aca="false">IF(AND($A37+(0)&gt;=1,$A37+(0)&lt;=$B$8),INDEX($P$12:$P$59,$A37+(0)),"")</f>
        <v>1.09649805260355</v>
      </c>
      <c r="U37" s="25" t="n">
        <f aca="false">IF(AND($A37+(12)&gt;=1,$A37+(12)&lt;=$B$8),INDEX($P$12:$P$59,$A37+(12)),"")</f>
        <v>1.00599624605475</v>
      </c>
      <c r="V37" s="25" t="str">
        <f aca="false">IF(AND($A37+(24)&gt;=1,$A37+(24)&lt;=$B$8),INDEX($P$12:$P$59,$A37+(24)),"")</f>
        <v/>
      </c>
      <c r="W37" s="25" t="str">
        <f aca="false">IF(AND($A37+(36)&gt;=1,$A37+(36)&lt;=$B$8),INDEX($P$12:$P$59,$A37+(36)),"")</f>
        <v/>
      </c>
      <c r="X37" s="25" t="n">
        <f aca="false">IF(SUMPRODUCT(Bobot_Filter!$B$43:$H$43,ISNUMBER(Q37:W37)*1)&gt;0,SUMPRODUCT(Bobot_Filter!$B$43:$H$43,Q37:W37)/SUMPRODUCT(Bobot_Filter!$B$43:$H$43,ISNUMBER(Q37:W37)*1),"")</f>
        <v>1.03786709895165</v>
      </c>
      <c r="Y37" s="25" t="n">
        <f aca="false">IF(AND($A37&gt;=$B$6,$A37&lt;=$B$7),SUMPRODUCT(Bobot_Filter!$B$4:$B$16,X31:X43),"")</f>
        <v>0.999228608783426</v>
      </c>
      <c r="Z37" s="33" t="n">
        <f aca="false">X37/INDEX($Y$12:$Y$59,MAX($B$6,MIN($A37,$B$7)))</f>
        <v>1.03866831856953</v>
      </c>
      <c r="AA37" s="27" t="n">
        <f aca="false">C37/Z37</f>
        <v>307.124030161362</v>
      </c>
      <c r="AB37" s="27" t="n">
        <f aca="false">IF(AND($A37&gt;=$B$6,$A37&lt;=$B$7),SUMPRODUCT(Bobot_Filter!$B$20:$B$32,AA31:AA43),"")</f>
        <v>291.135822547521</v>
      </c>
      <c r="AC37" s="25" t="n">
        <f aca="false">IF(ISNUMBER(AB37),AA37/AB37,"")</f>
        <v>1.05491666217486</v>
      </c>
      <c r="AD37" s="27" t="n">
        <f aca="false">$B$4+$B$3*A37</f>
        <v>287.951481510264</v>
      </c>
      <c r="AE37" s="27" t="n">
        <f aca="false">AD37*Z37</f>
        <v>299.086081129871</v>
      </c>
      <c r="AF37" s="28" t="n">
        <f aca="false">ABS(C37-AE37)/C37</f>
        <v>0.0624260779627854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Data!D31</f>
        <v>257</v>
      </c>
      <c r="D38" s="27" t="n">
        <f aca="false">IF(AND($A38&gt;=$B$6,$A38&lt;=$B$7),SUMPRODUCT(Bobot_Filter!$B$4:$B$16,C32:C44),"")</f>
        <v>290.833333333333</v>
      </c>
      <c r="E38" s="25" t="n">
        <f aca="false">IF(ISNUMBER(D38),C38/D38,"")</f>
        <v>0.883667621776504</v>
      </c>
      <c r="F38" s="25" t="str">
        <f aca="false">IF(AND($A38+(-24)&gt;=1,$A38+(-24)&lt;=$B$8),INDEX($E$12:$E$59,$A38+(-24)),"")</f>
        <v/>
      </c>
      <c r="G38" s="25" t="n">
        <f aca="false">IF(AND($A38+(-12)&gt;=1,$A38+(-12)&lt;=$B$8),INDEX($E$12:$E$59,$A38+(-12)),"")</f>
        <v>0.93858845096242</v>
      </c>
      <c r="H38" s="25" t="n">
        <f aca="false">IF(AND($A38+(0)&gt;=1,$A38+(0)&lt;=$B$8),INDEX($E$12:$E$59,$A38+(0)),"")</f>
        <v>0.883667621776504</v>
      </c>
      <c r="I38" s="25" t="n">
        <f aca="false">IF(AND($A38+(12)&gt;=1,$A38+(12)&lt;=$B$8),INDEX($E$12:$E$59,$A38+(12)),"")</f>
        <v>0.940016433853739</v>
      </c>
      <c r="J38" s="25" t="str">
        <f aca="false">IF(AND($A38+(24)&gt;=1,$A38+(24)&lt;=$B$8),INDEX($E$12:$E$59,$A38+(24)),"")</f>
        <v/>
      </c>
      <c r="K38" s="25" t="n">
        <f aca="false">IF(SUMPRODUCT(Bobot_Filter!$B$38:$F$38,ISNUMBER(F38:J38)*1)&gt;0,SUMPRODUCT(Bobot_Filter!$B$38:$F$38,F38:J38)/SUMPRODUCT(Bobot_Filter!$B$38:$F$38,ISNUMBER(F38:J38)*1),"")</f>
        <v>0.91545894785169</v>
      </c>
      <c r="L38" s="25" t="n">
        <f aca="false">IF(AND($A38&gt;=$B$6,$A38&lt;=$B$7),SUMPRODUCT(Bobot_Filter!$B$4:$B$16,K32:K44),"")</f>
        <v>0.998540351358463</v>
      </c>
      <c r="M38" s="25" t="n">
        <f aca="false">K38/INDEX($L$12:$L$59,MAX($B$6,MIN($A38,$B$7)))</f>
        <v>0.916797149565619</v>
      </c>
      <c r="N38" s="27" t="n">
        <f aca="false">C38/M38</f>
        <v>280.323733687182</v>
      </c>
      <c r="O38" s="27" t="n">
        <f aca="false">IF(AND($A38&gt;=$B$6,$A38&lt;=$B$7),SUMPRODUCT(Bobot_Filter!$B$20:$B$32,N32:N44),"")</f>
        <v>291.690534073396</v>
      </c>
      <c r="P38" s="25" t="n">
        <f aca="false">IF(ISNUMBER(O38),C38/O38,"")</f>
        <v>0.8810707581458</v>
      </c>
      <c r="Q38" s="25" t="str">
        <f aca="false">IF(AND($A38+(-36)&gt;=1,$A38+(-36)&lt;=$B$8),INDEX($P$12:$P$59,$A38+(-36)),"")</f>
        <v/>
      </c>
      <c r="R38" s="25" t="str">
        <f aca="false">IF(AND($A38+(-24)&gt;=1,$A38+(-24)&lt;=$B$8),INDEX($P$12:$P$59,$A38+(-24)),"")</f>
        <v/>
      </c>
      <c r="S38" s="25" t="n">
        <f aca="false">IF(AND($A38+(-12)&gt;=1,$A38+(-12)&lt;=$B$8),INDEX($P$12:$P$59,$A38+(-12)),"")</f>
        <v>0.932219330295031</v>
      </c>
      <c r="T38" s="25" t="n">
        <f aca="false">IF(AND($A38+(0)&gt;=1,$A38+(0)&lt;=$B$8),INDEX($P$12:$P$59,$A38+(0)),"")</f>
        <v>0.8810707581458</v>
      </c>
      <c r="U38" s="25" t="n">
        <f aca="false">IF(AND($A38+(12)&gt;=1,$A38+(12)&lt;=$B$8),INDEX($P$12:$P$59,$A38+(12)),"")</f>
        <v>0.948201705867847</v>
      </c>
      <c r="V38" s="25" t="str">
        <f aca="false">IF(AND($A38+(24)&gt;=1,$A38+(24)&lt;=$B$8),INDEX($P$12:$P$59,$A38+(24)),"")</f>
        <v/>
      </c>
      <c r="W38" s="25" t="str">
        <f aca="false">IF(AND($A38+(36)&gt;=1,$A38+(36)&lt;=$B$8),INDEX($P$12:$P$59,$A38+(36)),"")</f>
        <v/>
      </c>
      <c r="X38" s="25" t="n">
        <f aca="false">IF(SUMPRODUCT(Bobot_Filter!$B$43:$H$43,ISNUMBER(Q38:W38)*1)&gt;0,SUMPRODUCT(Bobot_Filter!$B$43:$H$43,Q38:W38)/SUMPRODUCT(Bobot_Filter!$B$43:$H$43,ISNUMBER(Q38:W38)*1),"")</f>
        <v>0.920497264769559</v>
      </c>
      <c r="Y38" s="25" t="n">
        <f aca="false">IF(AND($A38&gt;=$B$6,$A38&lt;=$B$7),SUMPRODUCT(Bobot_Filter!$B$4:$B$16,X32:X44),"")</f>
        <v>0.999169688449855</v>
      </c>
      <c r="Z38" s="33" t="n">
        <f aca="false">X38/INDEX($Y$12:$Y$59,MAX($B$6,MIN($A38,$B$7)))</f>
        <v>0.921262199414445</v>
      </c>
      <c r="AA38" s="27" t="n">
        <f aca="false">C38/Z38</f>
        <v>278.965098278589</v>
      </c>
      <c r="AB38" s="27" t="n">
        <f aca="false">IF(AND($A38&gt;=$B$6,$A38&lt;=$B$7),SUMPRODUCT(Bobot_Filter!$B$20:$B$32,AA32:AA44),"")</f>
        <v>291.414443998673</v>
      </c>
      <c r="AC38" s="25" t="n">
        <f aca="false">IF(ISNUMBER(AB38),AA38/AB38,"")</f>
        <v>0.95727958590776</v>
      </c>
      <c r="AD38" s="27" t="n">
        <f aca="false">$B$4+$B$3*A38</f>
        <v>289.192528690548</v>
      </c>
      <c r="AE38" s="27" t="n">
        <f aca="false">AD38*Z38</f>
        <v>266.422145035679</v>
      </c>
      <c r="AF38" s="28" t="n">
        <f aca="false">ABS(C38-AE38)/C38</f>
        <v>0.0366620429403853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Data!D32</f>
        <v>286</v>
      </c>
      <c r="D39" s="27" t="n">
        <f aca="false">IF(AND($A39&gt;=$B$6,$A39&lt;=$B$7),SUMPRODUCT(Bobot_Filter!$B$4:$B$16,C33:C45),"")</f>
        <v>294.625</v>
      </c>
      <c r="E39" s="25" t="n">
        <f aca="false">IF(ISNUMBER(D39),C39/D39,"")</f>
        <v>0.970725498515062</v>
      </c>
      <c r="F39" s="25" t="str">
        <f aca="false">IF(AND($A39+(-24)&gt;=1,$A39+(-24)&lt;=$B$8),INDEX($E$12:$E$59,$A39+(-24)),"")</f>
        <v/>
      </c>
      <c r="G39" s="25" t="n">
        <f aca="false">IF(AND($A39+(-12)&gt;=1,$A39+(-12)&lt;=$B$8),INDEX($E$12:$E$59,$A39+(-12)),"")</f>
        <v>0.897230210382927</v>
      </c>
      <c r="H39" s="25" t="n">
        <f aca="false">IF(AND($A39+(0)&gt;=1,$A39+(0)&lt;=$B$8),INDEX($E$12:$E$59,$A39+(0)),"")</f>
        <v>0.970725498515062</v>
      </c>
      <c r="I39" s="25" t="n">
        <f aca="false">IF(AND($A39+(12)&gt;=1,$A39+(12)&lt;=$B$8),INDEX($E$12:$E$59,$A39+(12)),"")</f>
        <v>0.955824384939514</v>
      </c>
      <c r="J39" s="25" t="str">
        <f aca="false">IF(AND($A39+(24)&gt;=1,$A39+(24)&lt;=$B$8),INDEX($E$12:$E$59,$A39+(24)),"")</f>
        <v/>
      </c>
      <c r="K39" s="25" t="n">
        <f aca="false">IF(SUMPRODUCT(Bobot_Filter!$B$38:$F$38,ISNUMBER(F39:J39)*1)&gt;0,SUMPRODUCT(Bobot_Filter!$B$38:$F$38,F39:J39)/SUMPRODUCT(Bobot_Filter!$B$38:$F$38,ISNUMBER(F39:J39)*1),"")</f>
        <v>0.945469383741438</v>
      </c>
      <c r="L39" s="25" t="n">
        <f aca="false">IF(AND($A39&gt;=$B$6,$A39&lt;=$B$7),SUMPRODUCT(Bobot_Filter!$B$4:$B$16,K33:K45),"")</f>
        <v>1.00109136903428</v>
      </c>
      <c r="M39" s="25" t="n">
        <f aca="false">K39/INDEX($L$12:$L$59,MAX($B$6,MIN($A39,$B$7)))</f>
        <v>0.944438652641166</v>
      </c>
      <c r="N39" s="27" t="n">
        <f aca="false">C39/M39</f>
        <v>302.825386487717</v>
      </c>
      <c r="O39" s="27" t="n">
        <f aca="false">IF(AND($A39&gt;=$B$6,$A39&lt;=$B$7),SUMPRODUCT(Bobot_Filter!$B$20:$B$32,N33:N45),"")</f>
        <v>291.853069277019</v>
      </c>
      <c r="P39" s="25" t="n">
        <f aca="false">IF(ISNUMBER(O39),C39/O39,"")</f>
        <v>0.97994515085444</v>
      </c>
      <c r="Q39" s="25" t="str">
        <f aca="false">IF(AND($A39+(-36)&gt;=1,$A39+(-36)&lt;=$B$8),INDEX($P$12:$P$59,$A39+(-36)),"")</f>
        <v/>
      </c>
      <c r="R39" s="25" t="str">
        <f aca="false">IF(AND($A39+(-24)&gt;=1,$A39+(-24)&lt;=$B$8),INDEX($P$12:$P$59,$A39+(-24)),"")</f>
        <v/>
      </c>
      <c r="S39" s="25" t="n">
        <f aca="false">IF(AND($A39+(-12)&gt;=1,$A39+(-12)&lt;=$B$8),INDEX($P$12:$P$59,$A39+(-12)),"")</f>
        <v>0.897936663123171</v>
      </c>
      <c r="T39" s="25" t="n">
        <f aca="false">IF(AND($A39+(0)&gt;=1,$A39+(0)&lt;=$B$8),INDEX($P$12:$P$59,$A39+(0)),"")</f>
        <v>0.97994515085444</v>
      </c>
      <c r="U39" s="25" t="n">
        <f aca="false">IF(AND($A39+(12)&gt;=1,$A39+(12)&lt;=$B$8),INDEX($P$12:$P$59,$A39+(12)),"")</f>
        <v>0.958782532539685</v>
      </c>
      <c r="V39" s="25" t="str">
        <f aca="false">IF(AND($A39+(24)&gt;=1,$A39+(24)&lt;=$B$8),INDEX($P$12:$P$59,$A39+(24)),"")</f>
        <v/>
      </c>
      <c r="W39" s="25" t="str">
        <f aca="false">IF(AND($A39+(36)&gt;=1,$A39+(36)&lt;=$B$8),INDEX($P$12:$P$59,$A39+(36)),"")</f>
        <v/>
      </c>
      <c r="X39" s="25" t="n">
        <f aca="false">IF(SUMPRODUCT(Bobot_Filter!$B$43:$H$43,ISNUMBER(Q39:W39)*1)&gt;0,SUMPRODUCT(Bobot_Filter!$B$43:$H$43,Q39:W39)/SUMPRODUCT(Bobot_Filter!$B$43:$H$43,ISNUMBER(Q39:W39)*1),"")</f>
        <v>0.945554782172432</v>
      </c>
      <c r="Y39" s="25" t="n">
        <f aca="false">IF(AND($A39&gt;=$B$6,$A39&lt;=$B$7),SUMPRODUCT(Bobot_Filter!$B$4:$B$16,X33:X45),"")</f>
        <v>0.999928230599399</v>
      </c>
      <c r="Z39" s="33" t="n">
        <f aca="false">X39/INDEX($Y$12:$Y$59,MAX($B$6,MIN($A39,$B$7)))</f>
        <v>0.945622648943141</v>
      </c>
      <c r="AA39" s="27" t="n">
        <f aca="false">C39/Z39</f>
        <v>302.446224526922</v>
      </c>
      <c r="AB39" s="27" t="n">
        <f aca="false">IF(AND($A39&gt;=$B$6,$A39&lt;=$B$7),SUMPRODUCT(Bobot_Filter!$B$20:$B$32,AA33:AA45),"")</f>
        <v>291.020510568155</v>
      </c>
      <c r="AC39" s="25" t="n">
        <f aca="false">IF(ISNUMBER(AB39),AA39/AB39,"")</f>
        <v>1.03926085462657</v>
      </c>
      <c r="AD39" s="27" t="n">
        <f aca="false">$B$4+$B$3*A39</f>
        <v>290.433575870832</v>
      </c>
      <c r="AE39" s="27" t="n">
        <f aca="false">AD39*Z39</f>
        <v>274.640567357005</v>
      </c>
      <c r="AF39" s="28" t="n">
        <f aca="false">ABS(C39-AE39)/C39</f>
        <v>0.0397182959545283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Data!D33</f>
        <v>252</v>
      </c>
      <c r="D40" s="27" t="n">
        <f aca="false">IF(AND($A40&gt;=$B$6,$A40&lt;=$B$7),SUMPRODUCT(Bobot_Filter!$B$4:$B$16,C34:C46),"")</f>
        <v>295.875</v>
      </c>
      <c r="E40" s="25" t="n">
        <f aca="false">IF(ISNUMBER(D40),C40/D40,"")</f>
        <v>0.85171102661597</v>
      </c>
      <c r="F40" s="25" t="str">
        <f aca="false">IF(AND($A40+(-24)&gt;=1,$A40+(-24)&lt;=$B$8),INDEX($E$12:$E$59,$A40+(-24)),"")</f>
        <v/>
      </c>
      <c r="G40" s="25" t="n">
        <f aca="false">IF(AND($A40+(-12)&gt;=1,$A40+(-12)&lt;=$B$8),INDEX($E$12:$E$59,$A40+(-12)),"")</f>
        <v>0.900360144057623</v>
      </c>
      <c r="H40" s="25" t="n">
        <f aca="false">IF(AND($A40+(0)&gt;=1,$A40+(0)&lt;=$B$8),INDEX($E$12:$E$59,$A40+(0)),"")</f>
        <v>0.85171102661597</v>
      </c>
      <c r="I40" s="25" t="n">
        <f aca="false">IF(AND($A40+(12)&gt;=1,$A40+(12)&lt;=$B$8),INDEX($E$12:$E$59,$A40+(12)),"")</f>
        <v>0.916868442292171</v>
      </c>
      <c r="J40" s="25" t="str">
        <f aca="false">IF(AND($A40+(24)&gt;=1,$A40+(24)&lt;=$B$8),INDEX($E$12:$E$59,$A40+(24)),"")</f>
        <v/>
      </c>
      <c r="K40" s="25" t="n">
        <f aca="false">IF(SUMPRODUCT(Bobot_Filter!$B$38:$F$38,ISNUMBER(F40:J40)*1)&gt;0,SUMPRODUCT(Bobot_Filter!$B$38:$F$38,F40:J40)/SUMPRODUCT(Bobot_Filter!$B$38:$F$38,ISNUMBER(F40:J40)*1),"")</f>
        <v>0.884227178935357</v>
      </c>
      <c r="L40" s="25" t="n">
        <f aca="false">IF(AND($A40&gt;=$B$6,$A40&lt;=$B$7),SUMPRODUCT(Bobot_Filter!$B$4:$B$16,K34:K46),"")</f>
        <v>1.00146240887397</v>
      </c>
      <c r="M40" s="25" t="n">
        <f aca="false">K40/INDEX($L$12:$L$59,MAX($B$6,MIN($A40,$B$7)))</f>
        <v>0.882935965544199</v>
      </c>
      <c r="N40" s="27" t="n">
        <f aca="false">C40/M40</f>
        <v>285.411411284712</v>
      </c>
      <c r="O40" s="27" t="n">
        <f aca="false">IF(AND($A40&gt;=$B$6,$A40&lt;=$B$7),SUMPRODUCT(Bobot_Filter!$B$20:$B$32,N34:N46),"")</f>
        <v>292.978717653312</v>
      </c>
      <c r="P40" s="25" t="n">
        <f aca="false">IF(ISNUMBER(O40),C40/O40,"")</f>
        <v>0.860130735837941</v>
      </c>
      <c r="Q40" s="25" t="str">
        <f aca="false">IF(AND($A40+(-36)&gt;=1,$A40+(-36)&lt;=$B$8),INDEX($P$12:$P$59,$A40+(-36)),"")</f>
        <v/>
      </c>
      <c r="R40" s="25" t="str">
        <f aca="false">IF(AND($A40+(-24)&gt;=1,$A40+(-24)&lt;=$B$8),INDEX($P$12:$P$59,$A40+(-24)),"")</f>
        <v/>
      </c>
      <c r="S40" s="25" t="n">
        <f aca="false">IF(AND($A40+(-12)&gt;=1,$A40+(-12)&lt;=$B$8),INDEX($P$12:$P$59,$A40+(-12)),"")</f>
        <v>0.907263519279906</v>
      </c>
      <c r="T40" s="25" t="n">
        <f aca="false">IF(AND($A40+(0)&gt;=1,$A40+(0)&lt;=$B$8),INDEX($P$12:$P$59,$A40+(0)),"")</f>
        <v>0.860130735837941</v>
      </c>
      <c r="U40" s="25" t="n">
        <f aca="false">IF(AND($A40+(12)&gt;=1,$A40+(12)&lt;=$B$8),INDEX($P$12:$P$59,$A40+(12)),"")</f>
        <v>0.91930951051305</v>
      </c>
      <c r="V40" s="25" t="str">
        <f aca="false">IF(AND($A40+(24)&gt;=1,$A40+(24)&lt;=$B$8),INDEX($P$12:$P$59,$A40+(24)),"")</f>
        <v/>
      </c>
      <c r="W40" s="25" t="str">
        <f aca="false">IF(AND($A40+(36)&gt;=1,$A40+(36)&lt;=$B$8),INDEX($P$12:$P$59,$A40+(36)),"")</f>
        <v/>
      </c>
      <c r="X40" s="25" t="n">
        <f aca="false">IF(SUMPRODUCT(Bobot_Filter!$B$43:$H$43,ISNUMBER(Q40:W40)*1)&gt;0,SUMPRODUCT(Bobot_Filter!$B$43:$H$43,Q40:W40)/SUMPRODUCT(Bobot_Filter!$B$43:$H$43,ISNUMBER(Q40:W40)*1),"")</f>
        <v>0.895567921876966</v>
      </c>
      <c r="Y40" s="25" t="n">
        <f aca="false">IF(AND($A40&gt;=$B$6,$A40&lt;=$B$7),SUMPRODUCT(Bobot_Filter!$B$4:$B$16,X34:X46),"")</f>
        <v>1.00025459321581</v>
      </c>
      <c r="Z40" s="33" t="n">
        <f aca="false">X40/INDEX($Y$12:$Y$59,MAX($B$6,MIN($A40,$B$7)))</f>
        <v>0.895339974393641</v>
      </c>
      <c r="AA40" s="27" t="n">
        <f aca="false">C40/Z40</f>
        <v>281.457331524446</v>
      </c>
      <c r="AB40" s="27" t="n">
        <f aca="false">IF(AND($A40&gt;=$B$6,$A40&lt;=$B$7),SUMPRODUCT(Bobot_Filter!$B$20:$B$32,AA34:AA46),"")</f>
        <v>292.191153253608</v>
      </c>
      <c r="AC40" s="25" t="n">
        <f aca="false">IF(ISNUMBER(AB40),AA40/AB40,"")</f>
        <v>0.963264384942394</v>
      </c>
      <c r="AD40" s="27" t="n">
        <f aca="false">$B$4+$B$3*A40</f>
        <v>291.674623051116</v>
      </c>
      <c r="AE40" s="27" t="n">
        <f aca="false">AD40*Z40</f>
        <v>261.147949533861</v>
      </c>
      <c r="AF40" s="28" t="n">
        <f aca="false">ABS(C40-AE40)/C40</f>
        <v>0.0363013870391309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Data!D34</f>
        <v>272</v>
      </c>
      <c r="D41" s="27" t="n">
        <f aca="false">IF(AND($A41&gt;=$B$6,$A41&lt;=$B$7),SUMPRODUCT(Bobot_Filter!$B$4:$B$16,C35:C47),"")</f>
        <v>295.583333333333</v>
      </c>
      <c r="E41" s="25" t="n">
        <f aca="false">IF(ISNUMBER(D41),C41/D41,"")</f>
        <v>0.920214265576544</v>
      </c>
      <c r="F41" s="25" t="str">
        <f aca="false">IF(AND($A41+(-24)&gt;=1,$A41+(-24)&lt;=$B$8),INDEX($E$12:$E$59,$A41+(-24)),"")</f>
        <v/>
      </c>
      <c r="G41" s="25" t="n">
        <f aca="false">IF(AND($A41+(-12)&gt;=1,$A41+(-12)&lt;=$B$8),INDEX($E$12:$E$59,$A41+(-12)),"")</f>
        <v>0.953929539295393</v>
      </c>
      <c r="H41" s="25" t="n">
        <f aca="false">IF(AND($A41+(0)&gt;=1,$A41+(0)&lt;=$B$8),INDEX($E$12:$E$59,$A41+(0)),"")</f>
        <v>0.920214265576544</v>
      </c>
      <c r="I41" s="25" t="n">
        <f aca="false">IF(AND($A41+(12)&gt;=1,$A41+(12)&lt;=$B$8),INDEX($E$12:$E$59,$A41+(12)),"")</f>
        <v>0.881619520042901</v>
      </c>
      <c r="J41" s="25" t="str">
        <f aca="false">IF(AND($A41+(24)&gt;=1,$A41+(24)&lt;=$B$8),INDEX($E$12:$E$59,$A41+(24)),"")</f>
        <v/>
      </c>
      <c r="K41" s="25" t="n">
        <f aca="false">IF(SUMPRODUCT(Bobot_Filter!$B$38:$F$38,ISNUMBER(F41:J41)*1)&gt;0,SUMPRODUCT(Bobot_Filter!$B$38:$F$38,F41:J41)/SUMPRODUCT(Bobot_Filter!$B$38:$F$38,ISNUMBER(F41:J41)*1),"")</f>
        <v>0.918820130772317</v>
      </c>
      <c r="L41" s="25" t="n">
        <f aca="false">IF(AND($A41&gt;=$B$6,$A41&lt;=$B$7),SUMPRODUCT(Bobot_Filter!$B$4:$B$16,K35:K47),"")</f>
        <v>0.999304911063851</v>
      </c>
      <c r="M41" s="25" t="n">
        <f aca="false">K41/INDEX($L$12:$L$59,MAX($B$6,MIN($A41,$B$7)))</f>
        <v>0.919459236714998</v>
      </c>
      <c r="N41" s="27" t="n">
        <f aca="false">C41/M41</f>
        <v>295.826056380476</v>
      </c>
      <c r="O41" s="27" t="n">
        <f aca="false">IF(AND($A41&gt;=$B$6,$A41&lt;=$B$7),SUMPRODUCT(Bobot_Filter!$B$20:$B$32,N35:N47),"")</f>
        <v>295.26441468008</v>
      </c>
      <c r="P41" s="25" t="n">
        <f aca="false">IF(ISNUMBER(O41),C41/O41,"")</f>
        <v>0.921208200096558</v>
      </c>
      <c r="Q41" s="25" t="str">
        <f aca="false">IF(AND($A41+(-36)&gt;=1,$A41+(-36)&lt;=$B$8),INDEX($P$12:$P$59,$A41+(-36)),"")</f>
        <v/>
      </c>
      <c r="R41" s="25" t="str">
        <f aca="false">IF(AND($A41+(-24)&gt;=1,$A41+(-24)&lt;=$B$8),INDEX($P$12:$P$59,$A41+(-24)),"")</f>
        <v/>
      </c>
      <c r="S41" s="25" t="n">
        <f aca="false">IF(AND($A41+(-12)&gt;=1,$A41+(-12)&lt;=$B$8),INDEX($P$12:$P$59,$A41+(-12)),"")</f>
        <v>0.954025706216977</v>
      </c>
      <c r="T41" s="25" t="n">
        <f aca="false">IF(AND($A41+(0)&gt;=1,$A41+(0)&lt;=$B$8),INDEX($P$12:$P$59,$A41+(0)),"")</f>
        <v>0.921208200096558</v>
      </c>
      <c r="U41" s="25" t="n">
        <f aca="false">IF(AND($A41+(12)&gt;=1,$A41+(12)&lt;=$B$8),INDEX($P$12:$P$59,$A41+(12)),"")</f>
        <v>0.877695447769508</v>
      </c>
      <c r="V41" s="25" t="str">
        <f aca="false">IF(AND($A41+(24)&gt;=1,$A41+(24)&lt;=$B$8),INDEX($P$12:$P$59,$A41+(24)),"")</f>
        <v/>
      </c>
      <c r="W41" s="25" t="str">
        <f aca="false">IF(AND($A41+(36)&gt;=1,$A41+(36)&lt;=$B$8),INDEX($P$12:$P$59,$A41+(36)),"")</f>
        <v/>
      </c>
      <c r="X41" s="25" t="n">
        <f aca="false">IF(SUMPRODUCT(Bobot_Filter!$B$43:$H$43,ISNUMBER(Q41:W41)*1)&gt;0,SUMPRODUCT(Bobot_Filter!$B$43:$H$43,Q41:W41)/SUMPRODUCT(Bobot_Filter!$B$43:$H$43,ISNUMBER(Q41:W41)*1),"")</f>
        <v>0.917643118027681</v>
      </c>
      <c r="Y41" s="25" t="n">
        <f aca="false">IF(AND($A41&gt;=$B$6,$A41&lt;=$B$7),SUMPRODUCT(Bobot_Filter!$B$4:$B$16,X35:X47),"")</f>
        <v>0.999438070894354</v>
      </c>
      <c r="Z41" s="33" t="n">
        <f aca="false">X41/INDEX($Y$12:$Y$59,MAX($B$6,MIN($A41,$B$7)))</f>
        <v>0.918159058326166</v>
      </c>
      <c r="AA41" s="27" t="n">
        <f aca="false">C41/Z41</f>
        <v>296.244967071245</v>
      </c>
      <c r="AB41" s="27" t="n">
        <f aca="false">IF(AND($A41&gt;=$B$6,$A41&lt;=$B$7),SUMPRODUCT(Bobot_Filter!$B$20:$B$32,AA35:AA47),"")</f>
        <v>295.287688047268</v>
      </c>
      <c r="AC41" s="25" t="n">
        <f aca="false">IF(ISNUMBER(AB41),AA41/AB41,"")</f>
        <v>1.00324185214191</v>
      </c>
      <c r="AD41" s="27" t="n">
        <f aca="false">$B$4+$B$3*A41</f>
        <v>292.9156702314</v>
      </c>
      <c r="AE41" s="27" t="n">
        <f aca="false">AD41*Z41</f>
        <v>268.94317594864</v>
      </c>
      <c r="AF41" s="28" t="n">
        <f aca="false">ABS(C41-AE41)/C41</f>
        <v>0.0112383237182362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Data!D35</f>
        <v>319</v>
      </c>
      <c r="D42" s="27" t="n">
        <f aca="false">IF(AND($A42&gt;=$B$6,$A42&lt;=$B$7),SUMPRODUCT(Bobot_Filter!$B$4:$B$16,C36:C48),"")</f>
        <v>296.5</v>
      </c>
      <c r="E42" s="25" t="n">
        <f aca="false">IF(ISNUMBER(D42),C42/D42,"")</f>
        <v>1.07588532883643</v>
      </c>
      <c r="F42" s="25" t="n">
        <f aca="false">IF(AND($A42+(-24)&gt;=1,$A42+(-24)&lt;=$B$8),INDEX($E$12:$E$59,$A42+(-24)),"")</f>
        <v>1.1337400281558</v>
      </c>
      <c r="G42" s="25" t="n">
        <f aca="false">IF(AND($A42+(-12)&gt;=1,$A42+(-12)&lt;=$B$8),INDEX($E$12:$E$59,$A42+(-12)),"")</f>
        <v>1.15749811605124</v>
      </c>
      <c r="H42" s="25" t="n">
        <f aca="false">IF(AND($A42+(0)&gt;=1,$A42+(0)&lt;=$B$8),INDEX($E$12:$E$59,$A42+(0)),"")</f>
        <v>1.07588532883643</v>
      </c>
      <c r="I42" s="25" t="str">
        <f aca="false">IF(AND($A42+(12)&gt;=1,$A42+(12)&lt;=$B$8),INDEX($E$12:$E$59,$A42+(12)),"")</f>
        <v/>
      </c>
      <c r="J42" s="25" t="str">
        <f aca="false">IF(AND($A42+(24)&gt;=1,$A42+(24)&lt;=$B$8),INDEX($E$12:$E$59,$A42+(24)),"")</f>
        <v/>
      </c>
      <c r="K42" s="25" t="n">
        <f aca="false">IF(SUMPRODUCT(Bobot_Filter!$B$38:$F$38,ISNUMBER(F42:J42)*1)&gt;0,SUMPRODUCT(Bobot_Filter!$B$38:$F$38,F42:J42)/SUMPRODUCT(Bobot_Filter!$B$38:$F$38,ISNUMBER(F42:J42)*1),"")</f>
        <v>1.11273204112793</v>
      </c>
      <c r="L42" s="25" t="n">
        <f aca="false">IF(AND($A42&gt;=$B$6,$A42&lt;=$B$7),SUMPRODUCT(Bobot_Filter!$B$4:$B$16,K36:K48),"")</f>
        <v>0.998477806059346</v>
      </c>
      <c r="M42" s="25" t="n">
        <f aca="false">K42/INDEX($L$12:$L$59,MAX($B$6,MIN($A42,$B$7)))</f>
        <v>1.11442841731205</v>
      </c>
      <c r="N42" s="27" t="n">
        <f aca="false">C42/M42</f>
        <v>286.24539274529</v>
      </c>
      <c r="O42" s="27" t="n">
        <f aca="false">IF(AND($A42&gt;=$B$6,$A42&lt;=$B$7),SUMPRODUCT(Bobot_Filter!$B$20:$B$32,N36:N48),"")</f>
        <v>298.256532308708</v>
      </c>
      <c r="P42" s="25" t="n">
        <f aca="false">IF(ISNUMBER(O42),C42/O42,"")</f>
        <v>1.06954908088927</v>
      </c>
      <c r="Q42" s="25" t="str">
        <f aca="false">IF(AND($A42+(-36)&gt;=1,$A42+(-36)&lt;=$B$8),INDEX($P$12:$P$59,$A42+(-36)),"")</f>
        <v/>
      </c>
      <c r="R42" s="25" t="n">
        <f aca="false">IF(AND($A42+(-24)&gt;=1,$A42+(-24)&lt;=$B$8),INDEX($P$12:$P$59,$A42+(-24)),"")</f>
        <v>1.12921738267664</v>
      </c>
      <c r="S42" s="25" t="n">
        <f aca="false">IF(AND($A42+(-12)&gt;=1,$A42+(-12)&lt;=$B$8),INDEX($P$12:$P$59,$A42+(-12)),"")</f>
        <v>1.15456774416871</v>
      </c>
      <c r="T42" s="25" t="n">
        <f aca="false">IF(AND($A42+(0)&gt;=1,$A42+(0)&lt;=$B$8),INDEX($P$12:$P$59,$A42+(0)),"")</f>
        <v>1.06954908088927</v>
      </c>
      <c r="U42" s="25" t="str">
        <f aca="false">IF(AND($A42+(12)&gt;=1,$A42+(12)&lt;=$B$8),INDEX($P$12:$P$59,$A42+(12)),"")</f>
        <v/>
      </c>
      <c r="V42" s="25" t="str">
        <f aca="false">IF(AND($A42+(24)&gt;=1,$A42+(24)&lt;=$B$8),INDEX($P$12:$P$59,$A42+(24)),"")</f>
        <v/>
      </c>
      <c r="W42" s="25" t="str">
        <f aca="false">IF(AND($A42+(36)&gt;=1,$A42+(36)&lt;=$B$8),INDEX($P$12:$P$59,$A42+(36)),"")</f>
        <v/>
      </c>
      <c r="X42" s="25" t="n">
        <f aca="false">IF(SUMPRODUCT(Bobot_Filter!$B$43:$H$43,ISNUMBER(Q42:W42)*1)&gt;0,SUMPRODUCT(Bobot_Filter!$B$43:$H$43,Q42:W42)/SUMPRODUCT(Bobot_Filter!$B$43:$H$43,ISNUMBER(Q42:W42)*1),"")</f>
        <v>1.1163481550659</v>
      </c>
      <c r="Y42" s="25" t="n">
        <f aca="false">IF(AND($A42&gt;=$B$6,$A42&lt;=$B$7),SUMPRODUCT(Bobot_Filter!$B$4:$B$16,X36:X48),"")</f>
        <v>0.999054103096592</v>
      </c>
      <c r="Z42" s="33" t="n">
        <f aca="false">X42/INDEX($Y$12:$Y$59,MAX($B$6,MIN($A42,$B$7)))</f>
        <v>1.11740510509466</v>
      </c>
      <c r="AA42" s="27" t="n">
        <f aca="false">C42/Z42</f>
        <v>285.482855363342</v>
      </c>
      <c r="AB42" s="27" t="n">
        <f aca="false">IF(AND($A42&gt;=$B$6,$A42&lt;=$B$7),SUMPRODUCT(Bobot_Filter!$B$20:$B$32,AA36:AA48),"")</f>
        <v>299.467401991634</v>
      </c>
      <c r="AC42" s="25" t="n">
        <f aca="false">IF(ISNUMBER(AB42),AA42/AB42,"")</f>
        <v>0.95330194026032</v>
      </c>
      <c r="AD42" s="27" t="n">
        <f aca="false">$B$4+$B$3*A42</f>
        <v>294.156717411684</v>
      </c>
      <c r="AE42" s="27" t="n">
        <f aca="false">AD42*Z42</f>
        <v>328.692217733704</v>
      </c>
      <c r="AF42" s="28" t="n">
        <f aca="false">ABS(C42-AE42)/C42</f>
        <v>0.0303831276918605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Data!D36</f>
        <v>334</v>
      </c>
      <c r="D43" s="27" t="n">
        <f aca="false">IF(AND($A43&gt;=$B$6,$A43&lt;=$B$7),SUMPRODUCT(Bobot_Filter!$B$4:$B$16,C37:C49),"")</f>
        <v>295.583333333333</v>
      </c>
      <c r="E43" s="25" t="n">
        <f aca="false">IF(ISNUMBER(D43),C43/D43,"")</f>
        <v>1.12996898787708</v>
      </c>
      <c r="F43" s="25" t="n">
        <f aca="false">IF(AND($A43+(-24)&gt;=1,$A43+(-24)&lt;=$B$8),INDEX($E$12:$E$59,$A43+(-24)),"")</f>
        <v>1.07613264829519</v>
      </c>
      <c r="G43" s="25" t="n">
        <f aca="false">IF(AND($A43+(-12)&gt;=1,$A43+(-12)&lt;=$B$8),INDEX($E$12:$E$59,$A43+(-12)),"")</f>
        <v>0.996118244252016</v>
      </c>
      <c r="H43" s="25" t="n">
        <f aca="false">IF(AND($A43+(0)&gt;=1,$A43+(0)&lt;=$B$8),INDEX($E$12:$E$59,$A43+(0)),"")</f>
        <v>1.12996898787708</v>
      </c>
      <c r="I43" s="25" t="str">
        <f aca="false">IF(AND($A43+(12)&gt;=1,$A43+(12)&lt;=$B$8),INDEX($E$12:$E$59,$A43+(12)),"")</f>
        <v/>
      </c>
      <c r="J43" s="25" t="str">
        <f aca="false">IF(AND($A43+(24)&gt;=1,$A43+(24)&lt;=$B$8),INDEX($E$12:$E$59,$A43+(24)),"")</f>
        <v/>
      </c>
      <c r="K43" s="25" t="n">
        <f aca="false">IF(SUMPRODUCT(Bobot_Filter!$B$38:$F$38,ISNUMBER(F43:J43)*1)&gt;0,SUMPRODUCT(Bobot_Filter!$B$38:$F$38,F43:J43)/SUMPRODUCT(Bobot_Filter!$B$38:$F$38,ISNUMBER(F43:J43)*1),"")</f>
        <v>1.07637935007174</v>
      </c>
      <c r="L43" s="25" t="n">
        <f aca="false">IF(AND($A43&gt;=$B$6,$A43&lt;=$B$7),SUMPRODUCT(Bobot_Filter!$B$4:$B$16,K37:K49),"")</f>
        <v>0.997480298568223</v>
      </c>
      <c r="M43" s="25" t="n">
        <f aca="false">K43/INDEX($L$12:$L$59,MAX($B$6,MIN($A43,$B$7)))</f>
        <v>1.07909835574374</v>
      </c>
      <c r="N43" s="27" t="n">
        <f aca="false">C43/M43</f>
        <v>309.517661872258</v>
      </c>
      <c r="O43" s="27" t="n">
        <f aca="false">IF(AND($A43&gt;=$B$6,$A43&lt;=$B$7),SUMPRODUCT(Bobot_Filter!$B$20:$B$32,N37:N49),"")</f>
        <v>301.341478422592</v>
      </c>
      <c r="P43" s="25" t="n">
        <f aca="false">IF(ISNUMBER(O43),C43/O43,"")</f>
        <v>1.10837712003128</v>
      </c>
      <c r="Q43" s="25" t="str">
        <f aca="false">IF(AND($A43+(-36)&gt;=1,$A43+(-36)&lt;=$B$8),INDEX($P$12:$P$59,$A43+(-36)),"")</f>
        <v/>
      </c>
      <c r="R43" s="25" t="n">
        <f aca="false">IF(AND($A43+(-24)&gt;=1,$A43+(-24)&lt;=$B$8),INDEX($P$12:$P$59,$A43+(-24)),"")</f>
        <v>1.08331582074353</v>
      </c>
      <c r="S43" s="25" t="n">
        <f aca="false">IF(AND($A43+(-12)&gt;=1,$A43+(-12)&lt;=$B$8),INDEX($P$12:$P$59,$A43+(-12)),"")</f>
        <v>1.00491034485507</v>
      </c>
      <c r="T43" s="25" t="n">
        <f aca="false">IF(AND($A43+(0)&gt;=1,$A43+(0)&lt;=$B$8),INDEX($P$12:$P$59,$A43+(0)),"")</f>
        <v>1.10837712003128</v>
      </c>
      <c r="U43" s="25" t="str">
        <f aca="false">IF(AND($A43+(12)&gt;=1,$A43+(12)&lt;=$B$8),INDEX($P$12:$P$59,$A43+(12)),"")</f>
        <v/>
      </c>
      <c r="V43" s="25" t="str">
        <f aca="false">IF(AND($A43+(24)&gt;=1,$A43+(24)&lt;=$B$8),INDEX($P$12:$P$59,$A43+(24)),"")</f>
        <v/>
      </c>
      <c r="W43" s="25" t="str">
        <f aca="false">IF(AND($A43+(36)&gt;=1,$A43+(36)&lt;=$B$8),INDEX($P$12:$P$59,$A43+(36)),"")</f>
        <v/>
      </c>
      <c r="X43" s="25" t="n">
        <f aca="false">IF(SUMPRODUCT(Bobot_Filter!$B$43:$H$43,ISNUMBER(Q43:W43)*1)&gt;0,SUMPRODUCT(Bobot_Filter!$B$43:$H$43,Q43:W43)/SUMPRODUCT(Bobot_Filter!$B$43:$H$43,ISNUMBER(Q43:W43)*1),"")</f>
        <v>1.06331175451827</v>
      </c>
      <c r="Y43" s="25" t="n">
        <f aca="false">IF(AND($A43&gt;=$B$6,$A43&lt;=$B$7),SUMPRODUCT(Bobot_Filter!$B$4:$B$16,X37:X49),"")</f>
        <v>0.999227544696058</v>
      </c>
      <c r="Z43" s="33" t="n">
        <f aca="false">X43/INDEX($Y$12:$Y$59,MAX($B$6,MIN($A43,$B$7)))</f>
        <v>1.06413375027777</v>
      </c>
      <c r="AA43" s="27" t="n">
        <f aca="false">C43/Z43</f>
        <v>313.870319321059</v>
      </c>
      <c r="AB43" s="27" t="n">
        <f aca="false">IF(AND($A43&gt;=$B$6,$A43&lt;=$B$7),SUMPRODUCT(Bobot_Filter!$B$20:$B$32,AA37:AA49),"")</f>
        <v>303.536253078073</v>
      </c>
      <c r="AC43" s="25" t="n">
        <f aca="false">IF(ISNUMBER(AB43),AA43/AB43,"")</f>
        <v>1.03404557491302</v>
      </c>
      <c r="AD43" s="27" t="n">
        <f aca="false">$B$4+$B$3*A43</f>
        <v>295.397764591968</v>
      </c>
      <c r="AE43" s="27" t="n">
        <f aca="false">AD43*Z43</f>
        <v>314.342731058921</v>
      </c>
      <c r="AF43" s="28" t="n">
        <f aca="false">ABS(C43-AE43)/C43</f>
        <v>0.0588540986259866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Data!D37</f>
        <v>284</v>
      </c>
      <c r="D44" s="27" t="n">
        <f aca="false">IF(AND($A44&gt;=$B$6,$A44&lt;=$B$7),SUMPRODUCT(Bobot_Filter!$B$4:$B$16,C38:C50),"")</f>
        <v>295.958333333333</v>
      </c>
      <c r="E44" s="25" t="n">
        <f aca="false">IF(ISNUMBER(D44),C44/D44,"")</f>
        <v>0.959594537519358</v>
      </c>
      <c r="F44" s="25" t="n">
        <f aca="false">IF(AND($A44+(-24)&gt;=1,$A44+(-24)&lt;=$B$8),INDEX($E$12:$E$59,$A44+(-24)),"")</f>
        <v>0.905380333951763</v>
      </c>
      <c r="G44" s="25" t="n">
        <f aca="false">IF(AND($A44+(-12)&gt;=1,$A44+(-12)&lt;=$B$8),INDEX($E$12:$E$59,$A44+(-12)),"")</f>
        <v>0.904316866933689</v>
      </c>
      <c r="H44" s="25" t="n">
        <f aca="false">IF(AND($A44+(0)&gt;=1,$A44+(0)&lt;=$B$8),INDEX($E$12:$E$59,$A44+(0)),"")</f>
        <v>0.959594537519358</v>
      </c>
      <c r="I44" s="25" t="str">
        <f aca="false">IF(AND($A44+(12)&gt;=1,$A44+(12)&lt;=$B$8),INDEX($E$12:$E$59,$A44+(12)),"")</f>
        <v/>
      </c>
      <c r="J44" s="25" t="str">
        <f aca="false">IF(AND($A44+(24)&gt;=1,$A44+(24)&lt;=$B$8),INDEX($E$12:$E$59,$A44+(24)),"")</f>
        <v/>
      </c>
      <c r="K44" s="25" t="n">
        <f aca="false">IF(SUMPRODUCT(Bobot_Filter!$B$38:$F$38,ISNUMBER(F44:J44)*1)&gt;0,SUMPRODUCT(Bobot_Filter!$B$38:$F$38,F44:J44)/SUMPRODUCT(Bobot_Filter!$B$38:$F$38,ISNUMBER(F44:J44)*1),"")</f>
        <v>0.932132946729536</v>
      </c>
      <c r="L44" s="25" t="n">
        <f aca="false">IF(AND($A44&gt;=$B$6,$A44&lt;=$B$7),SUMPRODUCT(Bobot_Filter!$B$4:$B$16,K38:K50),"")</f>
        <v>0.997074790257011</v>
      </c>
      <c r="M44" s="25" t="n">
        <f aca="false">K44/INDEX($L$12:$L$59,MAX($B$6,MIN($A44,$B$7)))</f>
        <v>0.934867630631063</v>
      </c>
      <c r="N44" s="27" t="n">
        <f aca="false">C44/M44</f>
        <v>303.786322998788</v>
      </c>
      <c r="O44" s="27" t="n">
        <f aca="false">IF(AND($A44&gt;=$B$6,$A44&lt;=$B$7),SUMPRODUCT(Bobot_Filter!$B$20:$B$32,N38:N50),"")</f>
        <v>302.308011831761</v>
      </c>
      <c r="P44" s="25" t="n">
        <f aca="false">IF(ISNUMBER(O44),C44/O44,"")</f>
        <v>0.939439210622214</v>
      </c>
      <c r="Q44" s="25" t="str">
        <f aca="false">IF(AND($A44+(-36)&gt;=1,$A44+(-36)&lt;=$B$8),INDEX($P$12:$P$59,$A44+(-36)),"")</f>
        <v/>
      </c>
      <c r="R44" s="25" t="n">
        <f aca="false">IF(AND($A44+(-24)&gt;=1,$A44+(-24)&lt;=$B$8),INDEX($P$12:$P$59,$A44+(-24)),"")</f>
        <v>0.918634352370541</v>
      </c>
      <c r="S44" s="25" t="n">
        <f aca="false">IF(AND($A44+(-12)&gt;=1,$A44+(-12)&lt;=$B$8),INDEX($P$12:$P$59,$A44+(-12)),"")</f>
        <v>0.917235558583183</v>
      </c>
      <c r="T44" s="25" t="n">
        <f aca="false">IF(AND($A44+(0)&gt;=1,$A44+(0)&lt;=$B$8),INDEX($P$12:$P$59,$A44+(0)),"")</f>
        <v>0.939439210622214</v>
      </c>
      <c r="U44" s="25" t="str">
        <f aca="false">IF(AND($A44+(12)&gt;=1,$A44+(12)&lt;=$B$8),INDEX($P$12:$P$59,$A44+(12)),"")</f>
        <v/>
      </c>
      <c r="V44" s="25" t="str">
        <f aca="false">IF(AND($A44+(24)&gt;=1,$A44+(24)&lt;=$B$8),INDEX($P$12:$P$59,$A44+(24)),"")</f>
        <v/>
      </c>
      <c r="W44" s="25" t="str">
        <f aca="false">IF(AND($A44+(36)&gt;=1,$A44+(36)&lt;=$B$8),INDEX($P$12:$P$59,$A44+(36)),"")</f>
        <v/>
      </c>
      <c r="X44" s="25" t="n">
        <f aca="false">IF(SUMPRODUCT(Bobot_Filter!$B$43:$H$43,ISNUMBER(Q44:W44)*1)&gt;0,SUMPRODUCT(Bobot_Filter!$B$43:$H$43,Q44:W44)/SUMPRODUCT(Bobot_Filter!$B$43:$H$43,ISNUMBER(Q44:W44)*1),"")</f>
        <v>0.925911626544659</v>
      </c>
      <c r="Y44" s="25" t="n">
        <f aca="false">IF(AND($A44&gt;=$B$6,$A44&lt;=$B$7),SUMPRODUCT(Bobot_Filter!$B$4:$B$16,X38:X50),"")</f>
        <v>0.999305867796212</v>
      </c>
      <c r="Z44" s="33" t="n">
        <f aca="false">X44/INDEX($Y$12:$Y$59,MAX($B$6,MIN($A44,$B$7)))</f>
        <v>0.926554778054681</v>
      </c>
      <c r="AA44" s="27" t="n">
        <f aca="false">C44/Z44</f>
        <v>306.511829334325</v>
      </c>
      <c r="AB44" s="27" t="n">
        <f aca="false">IF(AND($A44&gt;=$B$6,$A44&lt;=$B$7),SUMPRODUCT(Bobot_Filter!$B$20:$B$32,AA38:AA50),"")</f>
        <v>304.588249044362</v>
      </c>
      <c r="AC44" s="25" t="n">
        <f aca="false">IF(ISNUMBER(AB44),AA44/AB44,"")</f>
        <v>1.00631534636021</v>
      </c>
      <c r="AD44" s="27" t="n">
        <f aca="false">$B$4+$B$3*A44</f>
        <v>296.638811772252</v>
      </c>
      <c r="AE44" s="27" t="n">
        <f aca="false">AD44*Z44</f>
        <v>274.852108404043</v>
      </c>
      <c r="AF44" s="28" t="n">
        <f aca="false">ABS(C44-AE44)/C44</f>
        <v>0.0322108859012582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Data!D38</f>
        <v>358</v>
      </c>
      <c r="D45" s="27" t="n">
        <f aca="false">IF(AND($A45&gt;=$B$6,$A45&lt;=$B$7),SUMPRODUCT(Bobot_Filter!$B$4:$B$16,C39:C51),"")</f>
        <v>297.458333333333</v>
      </c>
      <c r="E45" s="25" t="n">
        <f aca="false">IF(ISNUMBER(D45),C45/D45,"")</f>
        <v>1.20352990614932</v>
      </c>
      <c r="F45" s="25" t="n">
        <f aca="false">IF(AND($A45+(-24)&gt;=1,$A45+(-24)&lt;=$B$8),INDEX($E$12:$E$59,$A45+(-24)),"")</f>
        <v>0.909567092897859</v>
      </c>
      <c r="G45" s="25" t="n">
        <f aca="false">IF(AND($A45+(-12)&gt;=1,$A45+(-12)&lt;=$B$8),INDEX($E$12:$E$59,$A45+(-12)),"")</f>
        <v>1.05117239345229</v>
      </c>
      <c r="H45" s="25" t="n">
        <f aca="false">IF(AND($A45+(0)&gt;=1,$A45+(0)&lt;=$B$8),INDEX($E$12:$E$59,$A45+(0)),"")</f>
        <v>1.20352990614932</v>
      </c>
      <c r="I45" s="25" t="str">
        <f aca="false">IF(AND($A45+(12)&gt;=1,$A45+(12)&lt;=$B$8),INDEX($E$12:$E$59,$A45+(12)),"")</f>
        <v/>
      </c>
      <c r="J45" s="25" t="str">
        <f aca="false">IF(AND($A45+(24)&gt;=1,$A45+(24)&lt;=$B$8),INDEX($E$12:$E$59,$A45+(24)),"")</f>
        <v/>
      </c>
      <c r="K45" s="25" t="n">
        <f aca="false">IF(SUMPRODUCT(Bobot_Filter!$B$38:$F$38,ISNUMBER(F45:J45)*1)&gt;0,SUMPRODUCT(Bobot_Filter!$B$38:$F$38,F45:J45)/SUMPRODUCT(Bobot_Filter!$B$38:$F$38,ISNUMBER(F45:J45)*1),"")</f>
        <v>1.10375026637507</v>
      </c>
      <c r="L45" s="25" t="n">
        <f aca="false">IF(AND($A45&gt;=$B$6,$A45&lt;=$B$7),SUMPRODUCT(Bobot_Filter!$B$4:$B$16,K39:K51),"")</f>
        <v>0.99753699420666</v>
      </c>
      <c r="M45" s="25" t="n">
        <f aca="false">K45/INDEX($L$12:$L$59,MAX($B$6,MIN($A45,$B$7)))</f>
        <v>1.10647552199593</v>
      </c>
      <c r="N45" s="27" t="n">
        <f aca="false">C45/M45</f>
        <v>323.549859787423</v>
      </c>
      <c r="O45" s="27" t="n">
        <f aca="false">IF(AND($A45&gt;=$B$6,$A45&lt;=$B$7),SUMPRODUCT(Bobot_Filter!$B$20:$B$32,N39:N51),"")</f>
        <v>300.702578048732</v>
      </c>
      <c r="P45" s="25" t="n">
        <f aca="false">IF(ISNUMBER(O45),C45/O45,"")</f>
        <v>1.19054516367326</v>
      </c>
      <c r="Q45" s="25" t="str">
        <f aca="false">IF(AND($A45+(-36)&gt;=1,$A45+(-36)&lt;=$B$8),INDEX($P$12:$P$59,$A45+(-36)),"")</f>
        <v/>
      </c>
      <c r="R45" s="25" t="n">
        <f aca="false">IF(AND($A45+(-24)&gt;=1,$A45+(-24)&lt;=$B$8),INDEX($P$12:$P$59,$A45+(-24)),"")</f>
        <v>0.919843176461566</v>
      </c>
      <c r="S45" s="25" t="n">
        <f aca="false">IF(AND($A45+(-12)&gt;=1,$A45+(-12)&lt;=$B$8),INDEX($P$12:$P$59,$A45+(-12)),"")</f>
        <v>1.0666554029228</v>
      </c>
      <c r="T45" s="25" t="n">
        <f aca="false">IF(AND($A45+(0)&gt;=1,$A45+(0)&lt;=$B$8),INDEX($P$12:$P$59,$A45+(0)),"")</f>
        <v>1.19054516367326</v>
      </c>
      <c r="U45" s="25" t="str">
        <f aca="false">IF(AND($A45+(12)&gt;=1,$A45+(12)&lt;=$B$8),INDEX($P$12:$P$59,$A45+(12)),"")</f>
        <v/>
      </c>
      <c r="V45" s="25" t="str">
        <f aca="false">IF(AND($A45+(24)&gt;=1,$A45+(24)&lt;=$B$8),INDEX($P$12:$P$59,$A45+(24)),"")</f>
        <v/>
      </c>
      <c r="W45" s="25" t="str">
        <f aca="false">IF(AND($A45+(36)&gt;=1,$A45+(36)&lt;=$B$8),INDEX($P$12:$P$59,$A45+(36)),"")</f>
        <v/>
      </c>
      <c r="X45" s="25" t="n">
        <f aca="false">IF(SUMPRODUCT(Bobot_Filter!$B$43:$H$43,ISNUMBER(Q45:W45)*1)&gt;0,SUMPRODUCT(Bobot_Filter!$B$43:$H$43,Q45:W45)/SUMPRODUCT(Bobot_Filter!$B$43:$H$43,ISNUMBER(Q45:W45)*1),"")</f>
        <v>1.07641100658891</v>
      </c>
      <c r="Y45" s="25" t="n">
        <f aca="false">IF(AND($A45&gt;=$B$6,$A45&lt;=$B$7),SUMPRODUCT(Bobot_Filter!$B$4:$B$16,X39:X51),"")</f>
        <v>0.999492826408315</v>
      </c>
      <c r="Z45" s="33" t="n">
        <f aca="false">X45/INDEX($Y$12:$Y$59,MAX($B$6,MIN($A45,$B$7)))</f>
        <v>1.07695721084563</v>
      </c>
      <c r="AA45" s="27" t="n">
        <f aca="false">C45/Z45</f>
        <v>332.418035177923</v>
      </c>
      <c r="AB45" s="27" t="n">
        <f aca="false">IF(AND($A45&gt;=$B$6,$A45&lt;=$B$7),SUMPRODUCT(Bobot_Filter!$B$20:$B$32,AA39:AA51),"")</f>
        <v>302.083366893672</v>
      </c>
      <c r="AC45" s="25" t="n">
        <f aca="false">IF(ISNUMBER(AB45),AA45/AB45,"")</f>
        <v>1.10041820109522</v>
      </c>
      <c r="AD45" s="27" t="n">
        <f aca="false">$B$4+$B$3*A45</f>
        <v>297.879858952535</v>
      </c>
      <c r="AE45" s="27" t="n">
        <f aca="false">AD45*Z45</f>
        <v>320.803862064612</v>
      </c>
      <c r="AF45" s="28" t="n">
        <f aca="false">ABS(C45-AE45)/C45</f>
        <v>0.103899826635161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Data!D39</f>
        <v>321</v>
      </c>
      <c r="D46" s="27" t="n">
        <f aca="false">IF(AND($A46&gt;=$B$6,$A46&lt;=$B$7),SUMPRODUCT(Bobot_Filter!$B$4:$B$16,C40:C52),"")</f>
        <v>299.083333333333</v>
      </c>
      <c r="E46" s="25" t="n">
        <f aca="false">IF(ISNUMBER(D46),C46/D46,"")</f>
        <v>1.07327946503204</v>
      </c>
      <c r="F46" s="25" t="n">
        <f aca="false">IF(AND($A46+(-24)&gt;=1,$A46+(-24)&lt;=$B$8),INDEX($E$12:$E$59,$A46+(-24)),"")</f>
        <v>1.28227300802965</v>
      </c>
      <c r="G46" s="25" t="n">
        <f aca="false">IF(AND($A46+(-12)&gt;=1,$A46+(-12)&lt;=$B$8),INDEX($E$12:$E$59,$A46+(-12)),"")</f>
        <v>1.23834652594547</v>
      </c>
      <c r="H46" s="25" t="n">
        <f aca="false">IF(AND($A46+(0)&gt;=1,$A46+(0)&lt;=$B$8),INDEX($E$12:$E$59,$A46+(0)),"")</f>
        <v>1.07327946503204</v>
      </c>
      <c r="I46" s="25" t="str">
        <f aca="false">IF(AND($A46+(12)&gt;=1,$A46+(12)&lt;=$B$8),INDEX($E$12:$E$59,$A46+(12)),"")</f>
        <v/>
      </c>
      <c r="J46" s="25" t="str">
        <f aca="false">IF(AND($A46+(24)&gt;=1,$A46+(24)&lt;=$B$8),INDEX($E$12:$E$59,$A46+(24)),"")</f>
        <v/>
      </c>
      <c r="K46" s="25" t="n">
        <f aca="false">IF(SUMPRODUCT(Bobot_Filter!$B$38:$F$38,ISNUMBER(F46:J46)*1)&gt;0,SUMPRODUCT(Bobot_Filter!$B$38:$F$38,F46:J46)/SUMPRODUCT(Bobot_Filter!$B$38:$F$38,ISNUMBER(F46:J46)*1),"")</f>
        <v>1.16313407583612</v>
      </c>
      <c r="L46" s="25" t="n">
        <f aca="false">IF(AND($A46&gt;=$B$6,$A46&lt;=$B$7),SUMPRODUCT(Bobot_Filter!$B$4:$B$16,K40:K52),"")</f>
        <v>0.998108956084</v>
      </c>
      <c r="M46" s="25" t="n">
        <f aca="false">K46/INDEX($L$12:$L$59,MAX($B$6,MIN($A46,$B$7)))</f>
        <v>1.1653377807565</v>
      </c>
      <c r="N46" s="27" t="n">
        <f aca="false">C46/M46</f>
        <v>275.45661464062</v>
      </c>
      <c r="O46" s="27" t="n">
        <f aca="false">IF(AND($A46&gt;=$B$6,$A46&lt;=$B$7),SUMPRODUCT(Bobot_Filter!$B$20:$B$32,N40:N52),"")</f>
        <v>297.686998390408</v>
      </c>
      <c r="P46" s="25" t="n">
        <f aca="false">IF(ISNUMBER(O46),C46/O46,"")</f>
        <v>1.07831380522376</v>
      </c>
      <c r="Q46" s="25" t="str">
        <f aca="false">IF(AND($A46+(-36)&gt;=1,$A46+(-36)&lt;=$B$8),INDEX($P$12:$P$59,$A46+(-36)),"")</f>
        <v/>
      </c>
      <c r="R46" s="25" t="n">
        <f aca="false">IF(AND($A46+(-24)&gt;=1,$A46+(-24)&lt;=$B$8),INDEX($P$12:$P$59,$A46+(-24)),"")</f>
        <v>1.27935507085558</v>
      </c>
      <c r="S46" s="25" t="n">
        <f aca="false">IF(AND($A46+(-12)&gt;=1,$A46+(-12)&lt;=$B$8),INDEX($P$12:$P$59,$A46+(-12)),"")</f>
        <v>1.25086698986718</v>
      </c>
      <c r="T46" s="25" t="n">
        <f aca="false">IF(AND($A46+(0)&gt;=1,$A46+(0)&lt;=$B$8),INDEX($P$12:$P$59,$A46+(0)),"")</f>
        <v>1.07831380522376</v>
      </c>
      <c r="U46" s="25" t="str">
        <f aca="false">IF(AND($A46+(12)&gt;=1,$A46+(12)&lt;=$B$8),INDEX($P$12:$P$59,$A46+(12)),"")</f>
        <v/>
      </c>
      <c r="V46" s="25" t="str">
        <f aca="false">IF(AND($A46+(24)&gt;=1,$A46+(24)&lt;=$B$8),INDEX($P$12:$P$59,$A46+(24)),"")</f>
        <v/>
      </c>
      <c r="W46" s="25" t="str">
        <f aca="false">IF(AND($A46+(36)&gt;=1,$A46+(36)&lt;=$B$8),INDEX($P$12:$P$59,$A46+(36)),"")</f>
        <v/>
      </c>
      <c r="X46" s="25" t="n">
        <f aca="false">IF(SUMPRODUCT(Bobot_Filter!$B$43:$H$43,ISNUMBER(Q46:W46)*1)&gt;0,SUMPRODUCT(Bobot_Filter!$B$43:$H$43,Q46:W46)/SUMPRODUCT(Bobot_Filter!$B$43:$H$43,ISNUMBER(Q46:W46)*1),"")</f>
        <v>1.193281565873</v>
      </c>
      <c r="Y46" s="25" t="n">
        <f aca="false">IF(AND($A46&gt;=$B$6,$A46&lt;=$B$7),SUMPRODUCT(Bobot_Filter!$B$4:$B$16,X40:X52),"")</f>
        <v>0.999679922875223</v>
      </c>
      <c r="Z46" s="33" t="n">
        <f aca="false">X46/INDEX($Y$12:$Y$59,MAX($B$6,MIN($A46,$B$7)))</f>
        <v>1.19366363029573</v>
      </c>
      <c r="AA46" s="27" t="n">
        <f aca="false">C46/Z46</f>
        <v>268.919980346952</v>
      </c>
      <c r="AB46" s="27" t="n">
        <f aca="false">IF(AND($A46&gt;=$B$6,$A46&lt;=$B$7),SUMPRODUCT(Bobot_Filter!$B$20:$B$32,AA40:AA52),"")</f>
        <v>297.695247704571</v>
      </c>
      <c r="AC46" s="25" t="n">
        <f aca="false">IF(ISNUMBER(AB46),AA46/AB46,"")</f>
        <v>0.903339849797754</v>
      </c>
      <c r="AD46" s="27" t="n">
        <f aca="false">$B$4+$B$3*A46</f>
        <v>299.120906132819</v>
      </c>
      <c r="AE46" s="27" t="n">
        <f aca="false">AD46*Z46</f>
        <v>357.04974671185</v>
      </c>
      <c r="AF46" s="28" t="n">
        <f aca="false">ABS(C46-AE46)/C46</f>
        <v>0.112304506890499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Data!D40</f>
        <v>285</v>
      </c>
      <c r="D47" s="27" t="n">
        <f aca="false">IF(AND($A47&gt;=$B$6,$A47&lt;=$B$7),SUMPRODUCT(Bobot_Filter!$B$4:$B$16,C41:C53),"")</f>
        <v>300.5</v>
      </c>
      <c r="E47" s="25" t="n">
        <f aca="false">IF(ISNUMBER(D47),C47/D47,"")</f>
        <v>0.948419301164726</v>
      </c>
      <c r="F47" s="25" t="n">
        <f aca="false">IF(AND($A47+(-24)&gt;=1,$A47+(-24)&lt;=$B$8),INDEX($E$12:$E$59,$A47+(-24)),"")</f>
        <v>1.06756964752963</v>
      </c>
      <c r="G47" s="25" t="n">
        <f aca="false">IF(AND($A47+(-12)&gt;=1,$A47+(-12)&lt;=$B$8),INDEX($E$12:$E$59,$A47+(-12)),"")</f>
        <v>0.916861826697892</v>
      </c>
      <c r="H47" s="25" t="n">
        <f aca="false">IF(AND($A47+(0)&gt;=1,$A47+(0)&lt;=$B$8),INDEX($E$12:$E$59,$A47+(0)),"")</f>
        <v>0.948419301164726</v>
      </c>
      <c r="I47" s="25" t="str">
        <f aca="false">IF(AND($A47+(12)&gt;=1,$A47+(12)&lt;=$B$8),INDEX($E$12:$E$59,$A47+(12)),"")</f>
        <v/>
      </c>
      <c r="J47" s="25" t="str">
        <f aca="false">IF(AND($A47+(24)&gt;=1,$A47+(24)&lt;=$B$8),INDEX($E$12:$E$59,$A47+(24)),"")</f>
        <v/>
      </c>
      <c r="K47" s="25" t="n">
        <f aca="false">IF(SUMPRODUCT(Bobot_Filter!$B$38:$F$38,ISNUMBER(F47:J47)*1)&gt;0,SUMPRODUCT(Bobot_Filter!$B$38:$F$38,F47:J47)/SUMPRODUCT(Bobot_Filter!$B$38:$F$38,ISNUMBER(F47:J47)*1),"")</f>
        <v>0.957758534069932</v>
      </c>
      <c r="L47" s="25" t="n">
        <f aca="false">IF(AND($A47&gt;=$B$6,$A47&lt;=$B$7),SUMPRODUCT(Bobot_Filter!$B$4:$B$16,K41:K53),"")</f>
        <v>0.997937569254119</v>
      </c>
      <c r="M47" s="25" t="n">
        <f aca="false">K47/INDEX($L$12:$L$59,MAX($B$6,MIN($A47,$B$7)))</f>
        <v>0.959737927078727</v>
      </c>
      <c r="N47" s="27" t="n">
        <f aca="false">C47/M47</f>
        <v>296.956066816584</v>
      </c>
      <c r="O47" s="27" t="n">
        <f aca="false">IF(AND($A47&gt;=$B$6,$A47&lt;=$B$7),SUMPRODUCT(Bobot_Filter!$B$20:$B$32,N41:N53),"")</f>
        <v>295.059338494307</v>
      </c>
      <c r="P47" s="25" t="n">
        <f aca="false">IF(ISNUMBER(O47),C47/O47,"")</f>
        <v>0.965907405115052</v>
      </c>
      <c r="Q47" s="25" t="str">
        <f aca="false">IF(AND($A47+(-36)&gt;=1,$A47+(-36)&lt;=$B$8),INDEX($P$12:$P$59,$A47+(-36)),"")</f>
        <v/>
      </c>
      <c r="R47" s="25" t="n">
        <f aca="false">IF(AND($A47+(-24)&gt;=1,$A47+(-24)&lt;=$B$8),INDEX($P$12:$P$59,$A47+(-24)),"")</f>
        <v>1.06078141166518</v>
      </c>
      <c r="S47" s="25" t="n">
        <f aca="false">IF(AND($A47+(-12)&gt;=1,$A47+(-12)&lt;=$B$8),INDEX($P$12:$P$59,$A47+(-12)),"")</f>
        <v>0.914867907677078</v>
      </c>
      <c r="T47" s="25" t="n">
        <f aca="false">IF(AND($A47+(0)&gt;=1,$A47+(0)&lt;=$B$8),INDEX($P$12:$P$59,$A47+(0)),"")</f>
        <v>0.965907405115052</v>
      </c>
      <c r="U47" s="25" t="str">
        <f aca="false">IF(AND($A47+(12)&gt;=1,$A47+(12)&lt;=$B$8),INDEX($P$12:$P$59,$A47+(12)),"")</f>
        <v/>
      </c>
      <c r="V47" s="25" t="str">
        <f aca="false">IF(AND($A47+(24)&gt;=1,$A47+(24)&lt;=$B$8),INDEX($P$12:$P$59,$A47+(24)),"")</f>
        <v/>
      </c>
      <c r="W47" s="25" t="str">
        <f aca="false">IF(AND($A47+(36)&gt;=1,$A47+(36)&lt;=$B$8),INDEX($P$12:$P$59,$A47+(36)),"")</f>
        <v/>
      </c>
      <c r="X47" s="25" t="n">
        <f aca="false">IF(SUMPRODUCT(Bobot_Filter!$B$43:$H$43,ISNUMBER(Q47:W47)*1)&gt;0,SUMPRODUCT(Bobot_Filter!$B$43:$H$43,Q47:W47)/SUMPRODUCT(Bobot_Filter!$B$43:$H$43,ISNUMBER(Q47:W47)*1),"")</f>
        <v>0.970486095213345</v>
      </c>
      <c r="Y47" s="25" t="n">
        <f aca="false">IF(AND($A47&gt;=$B$6,$A47&lt;=$B$7),SUMPRODUCT(Bobot_Filter!$B$4:$B$16,X41:X53),"")</f>
        <v>0.999429515658597</v>
      </c>
      <c r="Z47" s="33" t="n">
        <f aca="false">X47/INDEX($Y$12:$Y$59,MAX($B$6,MIN($A47,$B$7)))</f>
        <v>0.971040058361516</v>
      </c>
      <c r="AA47" s="27" t="n">
        <f aca="false">C47/Z47</f>
        <v>293.499735202371</v>
      </c>
      <c r="AB47" s="27" t="n">
        <f aca="false">IF(AND($A47&gt;=$B$6,$A47&lt;=$B$7),SUMPRODUCT(Bobot_Filter!$B$20:$B$32,AA41:AA53),"")</f>
        <v>293.851377092025</v>
      </c>
      <c r="AC47" s="25" t="n">
        <f aca="false">IF(ISNUMBER(AB47),AA47/AB47,"")</f>
        <v>0.998803334212234</v>
      </c>
      <c r="AD47" s="27" t="n">
        <f aca="false">$B$4+$B$3*A47</f>
        <v>300.361953313103</v>
      </c>
      <c r="AE47" s="27" t="n">
        <f aca="false">AD47*Z47</f>
        <v>291.663488674735</v>
      </c>
      <c r="AF47" s="28" t="n">
        <f aca="false">ABS(C47-AE47)/C47</f>
        <v>0.0233806620166128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Data!D41</f>
        <v>270</v>
      </c>
      <c r="D48" s="27" t="n">
        <f aca="false">IF(AND($A48&gt;=$B$6,$A48&lt;=$B$7),SUMPRODUCT(Bobot_Filter!$B$4:$B$16,C42:C54),"")</f>
        <v>301.458333333333</v>
      </c>
      <c r="E48" s="25" t="n">
        <f aca="false">IF(ISNUMBER(D48),C48/D48,"")</f>
        <v>0.895646164478231</v>
      </c>
      <c r="F48" s="25" t="n">
        <f aca="false">IF(AND($A48+(-24)&gt;=1,$A48+(-24)&lt;=$B$8),INDEX($E$12:$E$59,$A48+(-24)),"")</f>
        <v>0.921382685836647</v>
      </c>
      <c r="G48" s="25" t="n">
        <f aca="false">IF(AND($A48+(-12)&gt;=1,$A48+(-12)&lt;=$B$8),INDEX($E$12:$E$59,$A48+(-12)),"")</f>
        <v>0.954525515426232</v>
      </c>
      <c r="H48" s="25" t="n">
        <f aca="false">IF(AND($A48+(0)&gt;=1,$A48+(0)&lt;=$B$8),INDEX($E$12:$E$59,$A48+(0)),"")</f>
        <v>0.895646164478231</v>
      </c>
      <c r="I48" s="25" t="str">
        <f aca="false">IF(AND($A48+(12)&gt;=1,$A48+(12)&lt;=$B$8),INDEX($E$12:$E$59,$A48+(12)),"")</f>
        <v/>
      </c>
      <c r="J48" s="25" t="str">
        <f aca="false">IF(AND($A48+(24)&gt;=1,$A48+(24)&lt;=$B$8),INDEX($E$12:$E$59,$A48+(24)),"")</f>
        <v/>
      </c>
      <c r="K48" s="25" t="n">
        <f aca="false">IF(SUMPRODUCT(Bobot_Filter!$B$38:$F$38,ISNUMBER(F48:J48)*1)&gt;0,SUMPRODUCT(Bobot_Filter!$B$38:$F$38,F48:J48)/SUMPRODUCT(Bobot_Filter!$B$38:$F$38,ISNUMBER(F48:J48)*1),"")</f>
        <v>0.919562035020634</v>
      </c>
      <c r="L48" s="25" t="n">
        <f aca="false">IF(AND($A48&gt;=$B$6,$A48&lt;=$B$7),SUMPRODUCT(Bobot_Filter!$B$4:$B$16,K42:K54),"")</f>
        <v>0.997023966105674</v>
      </c>
      <c r="M48" s="25" t="n">
        <f aca="false">K48/INDEX($L$12:$L$59,MAX($B$6,MIN($A48,$B$7)))</f>
        <v>0.922306851471582</v>
      </c>
      <c r="N48" s="27" t="n">
        <f aca="false">C48/M48</f>
        <v>292.74422017922</v>
      </c>
      <c r="O48" s="27" t="n">
        <f aca="false">IF(AND($A48&gt;=$B$6,$A48&lt;=$B$7),SUMPRODUCT(Bobot_Filter!$B$20:$B$32,N42:N54),"")</f>
        <v>294.884329020165</v>
      </c>
      <c r="P48" s="25" t="n">
        <f aca="false">IF(ISNUMBER(O48),C48/O48,"")</f>
        <v>0.915613253838038</v>
      </c>
      <c r="Q48" s="25" t="str">
        <f aca="false">IF(AND($A48+(-36)&gt;=1,$A48+(-36)&lt;=$B$8),INDEX($P$12:$P$59,$A48+(-36)),"")</f>
        <v/>
      </c>
      <c r="R48" s="25" t="n">
        <f aca="false">IF(AND($A48+(-24)&gt;=1,$A48+(-24)&lt;=$B$8),INDEX($P$12:$P$59,$A48+(-24)),"")</f>
        <v>0.918819368317907</v>
      </c>
      <c r="S48" s="25" t="n">
        <f aca="false">IF(AND($A48+(-12)&gt;=1,$A48+(-12)&lt;=$B$8),INDEX($P$12:$P$59,$A48+(-12)),"")</f>
        <v>0.941647541825058</v>
      </c>
      <c r="T48" s="25" t="n">
        <f aca="false">IF(AND($A48+(0)&gt;=1,$A48+(0)&lt;=$B$8),INDEX($P$12:$P$59,$A48+(0)),"")</f>
        <v>0.915613253838038</v>
      </c>
      <c r="U48" s="25" t="str">
        <f aca="false">IF(AND($A48+(12)&gt;=1,$A48+(12)&lt;=$B$8),INDEX($P$12:$P$59,$A48+(12)),"")</f>
        <v/>
      </c>
      <c r="V48" s="25" t="str">
        <f aca="false">IF(AND($A48+(24)&gt;=1,$A48+(24)&lt;=$B$8),INDEX($P$12:$P$59,$A48+(24)),"")</f>
        <v/>
      </c>
      <c r="W48" s="25" t="str">
        <f aca="false">IF(AND($A48+(36)&gt;=1,$A48+(36)&lt;=$B$8),INDEX($P$12:$P$59,$A48+(36)),"")</f>
        <v/>
      </c>
      <c r="X48" s="25" t="n">
        <f aca="false">IF(SUMPRODUCT(Bobot_Filter!$B$43:$H$43,ISNUMBER(Q48:W48)*1)&gt;0,SUMPRODUCT(Bobot_Filter!$B$43:$H$43,Q48:W48)/SUMPRODUCT(Bobot_Filter!$B$43:$H$43,ISNUMBER(Q48:W48)*1),"")</f>
        <v>0.926177640453138</v>
      </c>
      <c r="Y48" s="25" t="n">
        <f aca="false">IF(AND($A48&gt;=$B$6,$A48&lt;=$B$7),SUMPRODUCT(Bobot_Filter!$B$4:$B$16,X42:X54),"")</f>
        <v>0.998885239562378</v>
      </c>
      <c r="Z48" s="33" t="n">
        <f aca="false">X48/INDEX($Y$12:$Y$59,MAX($B$6,MIN($A48,$B$7)))</f>
        <v>0.927211258881857</v>
      </c>
      <c r="AA48" s="27" t="n">
        <f aca="false">C48/Z48</f>
        <v>291.195773793341</v>
      </c>
      <c r="AB48" s="27" t="n">
        <f aca="false">IF(AND($A48&gt;=$B$6,$A48&lt;=$B$7),SUMPRODUCT(Bobot_Filter!$B$20:$B$32,AA42:AA54),"")</f>
        <v>293.119810071682</v>
      </c>
      <c r="AC48" s="25" t="n">
        <f aca="false">IF(ISNUMBER(AB48),AA48/AB48,"")</f>
        <v>0.993436007351837</v>
      </c>
      <c r="AD48" s="27" t="n">
        <f aca="false">$B$4+$B$3*A48</f>
        <v>301.603000493387</v>
      </c>
      <c r="AE48" s="27" t="n">
        <f aca="false">AD48*Z48</f>
        <v>279.649697770019</v>
      </c>
      <c r="AF48" s="28" t="n">
        <f aca="false">ABS(C48-AE48)/C48</f>
        <v>0.03573962137044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Data!D42</f>
        <v>299</v>
      </c>
      <c r="D49" s="27" t="n">
        <f aca="false">IF(AND($A49&gt;=$B$6,$A49&lt;=$B$7),SUMPRODUCT(Bobot_Filter!$B$4:$B$16,C43:C55),"")</f>
        <v>303.083333333333</v>
      </c>
      <c r="E49" s="25" t="n">
        <f aca="false">IF(ISNUMBER(D49),C49/D49,"")</f>
        <v>0.9865273577124</v>
      </c>
      <c r="F49" s="25" t="n">
        <f aca="false">IF(AND($A49+(-24)&gt;=1,$A49+(-24)&lt;=$B$8),INDEX($E$12:$E$59,$A49+(-24)),"")</f>
        <v>1.01558203483043</v>
      </c>
      <c r="G49" s="25" t="n">
        <f aca="false">IF(AND($A49+(-12)&gt;=1,$A49+(-12)&lt;=$B$8),INDEX($E$12:$E$59,$A49+(-12)),"")</f>
        <v>1.11053089643168</v>
      </c>
      <c r="H49" s="25" t="n">
        <f aca="false">IF(AND($A49+(0)&gt;=1,$A49+(0)&lt;=$B$8),INDEX($E$12:$E$59,$A49+(0)),"")</f>
        <v>0.9865273577124</v>
      </c>
      <c r="I49" s="25" t="str">
        <f aca="false">IF(AND($A49+(12)&gt;=1,$A49+(12)&lt;=$B$8),INDEX($E$12:$E$59,$A49+(12)),"")</f>
        <v/>
      </c>
      <c r="J49" s="25" t="str">
        <f aca="false">IF(AND($A49+(24)&gt;=1,$A49+(24)&lt;=$B$8),INDEX($E$12:$E$59,$A49+(24)),"")</f>
        <v/>
      </c>
      <c r="K49" s="25" t="n">
        <f aca="false">IF(SUMPRODUCT(Bobot_Filter!$B$38:$F$38,ISNUMBER(F49:J49)*1)&gt;0,SUMPRODUCT(Bobot_Filter!$B$38:$F$38,F49:J49)/SUMPRODUCT(Bobot_Filter!$B$38:$F$38,ISNUMBER(F49:J49)*1),"")</f>
        <v>1.03270431680517</v>
      </c>
      <c r="L49" s="25" t="n">
        <f aca="false">IF(AND($A49&gt;=$B$6,$A49&lt;=$B$7),SUMPRODUCT(Bobot_Filter!$B$4:$B$16,K43:K55),"")</f>
        <v>0.99699606082972</v>
      </c>
      <c r="M49" s="25" t="n">
        <f aca="false">K49/INDEX($L$12:$L$59,MAX($B$6,MIN($A49,$B$7)))</f>
        <v>1.03581584459394</v>
      </c>
      <c r="N49" s="27" t="n">
        <f aca="false">C49/M49</f>
        <v>288.661349949917</v>
      </c>
      <c r="O49" s="27" t="n">
        <f aca="false">IF(AND($A49&gt;=$B$6,$A49&lt;=$B$7),SUMPRODUCT(Bobot_Filter!$B$20:$B$32,N43:N55),"")</f>
        <v>297.217808886065</v>
      </c>
      <c r="P49" s="25" t="n">
        <f aca="false">IF(ISNUMBER(O49),C49/O49,"")</f>
        <v>1.00599624605475</v>
      </c>
      <c r="Q49" s="25" t="str">
        <f aca="false">IF(AND($A49+(-36)&gt;=1,$A49+(-36)&lt;=$B$8),INDEX($P$12:$P$59,$A49+(-36)),"")</f>
        <v/>
      </c>
      <c r="R49" s="25" t="n">
        <f aca="false">IF(AND($A49+(-24)&gt;=1,$A49+(-24)&lt;=$B$8),INDEX($P$12:$P$59,$A49+(-24)),"")</f>
        <v>1.01110699819666</v>
      </c>
      <c r="S49" s="25" t="n">
        <f aca="false">IF(AND($A49+(-12)&gt;=1,$A49+(-12)&lt;=$B$8),INDEX($P$12:$P$59,$A49+(-12)),"")</f>
        <v>1.09649805260355</v>
      </c>
      <c r="T49" s="25" t="n">
        <f aca="false">IF(AND($A49+(0)&gt;=1,$A49+(0)&lt;=$B$8),INDEX($P$12:$P$59,$A49+(0)),"")</f>
        <v>1.00599624605475</v>
      </c>
      <c r="U49" s="25" t="str">
        <f aca="false">IF(AND($A49+(12)&gt;=1,$A49+(12)&lt;=$B$8),INDEX($P$12:$P$59,$A49+(12)),"")</f>
        <v/>
      </c>
      <c r="V49" s="25" t="str">
        <f aca="false">IF(AND($A49+(24)&gt;=1,$A49+(24)&lt;=$B$8),INDEX($P$12:$P$59,$A49+(24)),"")</f>
        <v/>
      </c>
      <c r="W49" s="25" t="str">
        <f aca="false">IF(AND($A49+(36)&gt;=1,$A49+(36)&lt;=$B$8),INDEX($P$12:$P$59,$A49+(36)),"")</f>
        <v/>
      </c>
      <c r="X49" s="25" t="n">
        <f aca="false">IF(SUMPRODUCT(Bobot_Filter!$B$43:$H$43,ISNUMBER(Q49:W49)*1)&gt;0,SUMPRODUCT(Bobot_Filter!$B$43:$H$43,Q49:W49)/SUMPRODUCT(Bobot_Filter!$B$43:$H$43,ISNUMBER(Q49:W49)*1),"")</f>
        <v>1.04121211154603</v>
      </c>
      <c r="Y49" s="25" t="n">
        <f aca="false">IF(AND($A49&gt;=$B$6,$A49&lt;=$B$7),SUMPRODUCT(Bobot_Filter!$B$4:$B$16,X43:X55),"")</f>
        <v>0.998797104331297</v>
      </c>
      <c r="Z49" s="33" t="n">
        <f aca="false">X49/INDEX($Y$12:$Y$59,MAX($B$6,MIN($A49,$B$7)))</f>
        <v>1.04246608948984</v>
      </c>
      <c r="AA49" s="27" t="n">
        <f aca="false">C49/Z49</f>
        <v>286.819881255152</v>
      </c>
      <c r="AB49" s="27" t="n">
        <f aca="false">IF(AND($A49&gt;=$B$6,$A49&lt;=$B$7),SUMPRODUCT(Bobot_Filter!$B$20:$B$32,AA43:AA55),"")</f>
        <v>295.461796115955</v>
      </c>
      <c r="AC49" s="25" t="n">
        <f aca="false">IF(ISNUMBER(AB49),AA49/AB49,"")</f>
        <v>0.970751159796607</v>
      </c>
      <c r="AD49" s="27" t="n">
        <f aca="false">$B$4+$B$3*A49</f>
        <v>302.844047673671</v>
      </c>
      <c r="AE49" s="27" t="n">
        <f aca="false">AD49*Z49</f>
        <v>315.704650103648</v>
      </c>
      <c r="AF49" s="28" t="n">
        <f aca="false">ABS(C49-AE49)/C49</f>
        <v>0.0558683949954776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Data!D43</f>
        <v>286</v>
      </c>
      <c r="D50" s="27" t="n">
        <f aca="false">IF(AND($A50&gt;=$B$6,$A50&lt;=$B$7),SUMPRODUCT(Bobot_Filter!$B$4:$B$16,C44:C56),"")</f>
        <v>304.25</v>
      </c>
      <c r="E50" s="25" t="n">
        <f aca="false">IF(ISNUMBER(D50),C50/D50,"")</f>
        <v>0.940016433853739</v>
      </c>
      <c r="F50" s="25" t="n">
        <f aca="false">IF(AND($A50+(-24)&gt;=1,$A50+(-24)&lt;=$B$8),INDEX($E$12:$E$59,$A50+(-24)),"")</f>
        <v>0.93858845096242</v>
      </c>
      <c r="G50" s="25" t="n">
        <f aca="false">IF(AND($A50+(-12)&gt;=1,$A50+(-12)&lt;=$B$8),INDEX($E$12:$E$59,$A50+(-12)),"")</f>
        <v>0.883667621776504</v>
      </c>
      <c r="H50" s="25" t="n">
        <f aca="false">IF(AND($A50+(0)&gt;=1,$A50+(0)&lt;=$B$8),INDEX($E$12:$E$59,$A50+(0)),"")</f>
        <v>0.940016433853739</v>
      </c>
      <c r="I50" s="25" t="str">
        <f aca="false">IF(AND($A50+(12)&gt;=1,$A50+(12)&lt;=$B$8),INDEX($E$12:$E$59,$A50+(12)),"")</f>
        <v/>
      </c>
      <c r="J50" s="25" t="str">
        <f aca="false">IF(AND($A50+(24)&gt;=1,$A50+(24)&lt;=$B$8),INDEX($E$12:$E$59,$A50+(24)),"")</f>
        <v/>
      </c>
      <c r="K50" s="25" t="n">
        <f aca="false">IF(SUMPRODUCT(Bobot_Filter!$B$38:$F$38,ISNUMBER(F50:J50)*1)&gt;0,SUMPRODUCT(Bobot_Filter!$B$38:$F$38,F50:J50)/SUMPRODUCT(Bobot_Filter!$B$38:$F$38,ISNUMBER(F50:J50)*1),"")</f>
        <v>0.920995499346108</v>
      </c>
      <c r="L50" s="25" t="n">
        <f aca="false">IF(AND($A50&gt;=$B$6,$A50&lt;=$B$7),SUMPRODUCT(Bobot_Filter!$B$4:$B$16,K44:K56),"")</f>
        <v>0.997746411823813</v>
      </c>
      <c r="M50" s="25" t="n">
        <f aca="false">K50/INDEX($L$12:$L$59,MAX($B$6,MIN($A50,$B$7)))</f>
        <v>0.923075731901245</v>
      </c>
      <c r="N50" s="27" t="n">
        <f aca="false">C50/M50</f>
        <v>309.833733155274</v>
      </c>
      <c r="O50" s="27" t="n">
        <f aca="false">IF(AND($A50&gt;=$B$6,$A50&lt;=$B$7),SUMPRODUCT(Bobot_Filter!$B$20:$B$32,N44:N56),"")</f>
        <v>301.623587291732</v>
      </c>
      <c r="P50" s="25" t="n">
        <f aca="false">IF(ISNUMBER(O50),C50/O50,"")</f>
        <v>0.948201705867847</v>
      </c>
      <c r="Q50" s="25" t="str">
        <f aca="false">IF(AND($A50+(-36)&gt;=1,$A50+(-36)&lt;=$B$8),INDEX($P$12:$P$59,$A50+(-36)),"")</f>
        <v/>
      </c>
      <c r="R50" s="25" t="n">
        <f aca="false">IF(AND($A50+(-24)&gt;=1,$A50+(-24)&lt;=$B$8),INDEX($P$12:$P$59,$A50+(-24)),"")</f>
        <v>0.932219330295031</v>
      </c>
      <c r="S50" s="25" t="n">
        <f aca="false">IF(AND($A50+(-12)&gt;=1,$A50+(-12)&lt;=$B$8),INDEX($P$12:$P$59,$A50+(-12)),"")</f>
        <v>0.8810707581458</v>
      </c>
      <c r="T50" s="25" t="n">
        <f aca="false">IF(AND($A50+(0)&gt;=1,$A50+(0)&lt;=$B$8),INDEX($P$12:$P$59,$A50+(0)),"")</f>
        <v>0.948201705867847</v>
      </c>
      <c r="U50" s="25" t="str">
        <f aca="false">IF(AND($A50+(12)&gt;=1,$A50+(12)&lt;=$B$8),INDEX($P$12:$P$59,$A50+(12)),"")</f>
        <v/>
      </c>
      <c r="V50" s="25" t="str">
        <f aca="false">IF(AND($A50+(24)&gt;=1,$A50+(24)&lt;=$B$8),INDEX($P$12:$P$59,$A50+(24)),"")</f>
        <v/>
      </c>
      <c r="W50" s="25" t="str">
        <f aca="false">IF(AND($A50+(36)&gt;=1,$A50+(36)&lt;=$B$8),INDEX($P$12:$P$59,$A50+(36)),"")</f>
        <v/>
      </c>
      <c r="X50" s="25" t="n">
        <f aca="false">IF(SUMPRODUCT(Bobot_Filter!$B$43:$H$43,ISNUMBER(Q50:W50)*1)&gt;0,SUMPRODUCT(Bobot_Filter!$B$43:$H$43,Q50:W50)/SUMPRODUCT(Bobot_Filter!$B$43:$H$43,ISNUMBER(Q50:W50)*1),"")</f>
        <v>0.919032006578875</v>
      </c>
      <c r="Y50" s="25" t="n">
        <f aca="false">IF(AND($A50&gt;=$B$6,$A50&lt;=$B$7),SUMPRODUCT(Bobot_Filter!$B$4:$B$16,X44:X56),"")</f>
        <v>0.99917453964778</v>
      </c>
      <c r="Z50" s="33" t="n">
        <f aca="false">X50/INDEX($Y$12:$Y$59,MAX($B$6,MIN($A50,$B$7)))</f>
        <v>0.919791257794503</v>
      </c>
      <c r="AA50" s="27" t="n">
        <f aca="false">C50/Z50</f>
        <v>310.940115571198</v>
      </c>
      <c r="AB50" s="27" t="n">
        <f aca="false">IF(AND($A50&gt;=$B$6,$A50&lt;=$B$7),SUMPRODUCT(Bobot_Filter!$B$20:$B$32,AA44:AA56),"")</f>
        <v>300.276000029927</v>
      </c>
      <c r="AC50" s="25" t="n">
        <f aca="false">IF(ISNUMBER(AB50),AA50/AB50,"")</f>
        <v>1.0355143785724</v>
      </c>
      <c r="AD50" s="27" t="n">
        <f aca="false">$B$4+$B$3*A50</f>
        <v>304.085094853955</v>
      </c>
      <c r="AE50" s="27" t="n">
        <f aca="false">AD50*Z50</f>
        <v>279.69481187228</v>
      </c>
      <c r="AF50" s="28" t="n">
        <f aca="false">ABS(C50-AE50)/C50</f>
        <v>0.0220461123346849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Data!D44</f>
        <v>293</v>
      </c>
      <c r="D51" s="27" t="n">
        <f aca="false">IF(AND($A51&gt;=$B$6,$A51&lt;=$B$7),SUMPRODUCT(Bobot_Filter!$B$4:$B$16,C45:C57),"")</f>
        <v>306.541666666667</v>
      </c>
      <c r="E51" s="25" t="n">
        <f aca="false">IF(ISNUMBER(D51),C51/D51,"")</f>
        <v>0.955824384939514</v>
      </c>
      <c r="F51" s="25" t="n">
        <f aca="false">IF(AND($A51+(-24)&gt;=1,$A51+(-24)&lt;=$B$8),INDEX($E$12:$E$59,$A51+(-24)),"")</f>
        <v>0.897230210382927</v>
      </c>
      <c r="G51" s="25" t="n">
        <f aca="false">IF(AND($A51+(-12)&gt;=1,$A51+(-12)&lt;=$B$8),INDEX($E$12:$E$59,$A51+(-12)),"")</f>
        <v>0.970725498515062</v>
      </c>
      <c r="H51" s="25" t="n">
        <f aca="false">IF(AND($A51+(0)&gt;=1,$A51+(0)&lt;=$B$8),INDEX($E$12:$E$59,$A51+(0)),"")</f>
        <v>0.955824384939514</v>
      </c>
      <c r="I51" s="25" t="str">
        <f aca="false">IF(AND($A51+(12)&gt;=1,$A51+(12)&lt;=$B$8),INDEX($E$12:$E$59,$A51+(12)),"")</f>
        <v/>
      </c>
      <c r="J51" s="25" t="str">
        <f aca="false">IF(AND($A51+(24)&gt;=1,$A51+(24)&lt;=$B$8),INDEX($E$12:$E$59,$A51+(24)),"")</f>
        <v/>
      </c>
      <c r="K51" s="25" t="n">
        <f aca="false">IF(SUMPRODUCT(Bobot_Filter!$B$38:$F$38,ISNUMBER(F51:J51)*1)&gt;0,SUMPRODUCT(Bobot_Filter!$B$38:$F$38,F51:J51)/SUMPRODUCT(Bobot_Filter!$B$38:$F$38,ISNUMBER(F51:J51)*1),"")</f>
        <v>0.951025727038598</v>
      </c>
      <c r="L51" s="25" t="n">
        <f aca="false">IF(AND($A51&gt;=$B$6,$A51&lt;=$B$7),SUMPRODUCT(Bobot_Filter!$B$4:$B$16,K45:K57),"")</f>
        <v>1.00016430777395</v>
      </c>
      <c r="M51" s="25" t="n">
        <f aca="false">K51/INDEX($L$12:$L$59,MAX($B$6,MIN($A51,$B$7)))</f>
        <v>0.95086949178909</v>
      </c>
      <c r="N51" s="27" t="n">
        <f aca="false">C51/M51</f>
        <v>308.139026995925</v>
      </c>
      <c r="O51" s="27" t="n">
        <f aca="false">IF(AND($A51&gt;=$B$6,$A51&lt;=$B$7),SUMPRODUCT(Bobot_Filter!$B$20:$B$32,N45:N57),"")</f>
        <v>305.595888594135</v>
      </c>
      <c r="P51" s="25" t="n">
        <f aca="false">IF(ISNUMBER(O51),C51/O51,"")</f>
        <v>0.958782532539685</v>
      </c>
      <c r="Q51" s="25" t="str">
        <f aca="false">IF(AND($A51+(-36)&gt;=1,$A51+(-36)&lt;=$B$8),INDEX($P$12:$P$59,$A51+(-36)),"")</f>
        <v/>
      </c>
      <c r="R51" s="25" t="n">
        <f aca="false">IF(AND($A51+(-24)&gt;=1,$A51+(-24)&lt;=$B$8),INDEX($P$12:$P$59,$A51+(-24)),"")</f>
        <v>0.897936663123171</v>
      </c>
      <c r="S51" s="25" t="n">
        <f aca="false">IF(AND($A51+(-12)&gt;=1,$A51+(-12)&lt;=$B$8),INDEX($P$12:$P$59,$A51+(-12)),"")</f>
        <v>0.97994515085444</v>
      </c>
      <c r="T51" s="25" t="n">
        <f aca="false">IF(AND($A51+(0)&gt;=1,$A51+(0)&lt;=$B$8),INDEX($P$12:$P$59,$A51+(0)),"")</f>
        <v>0.958782532539685</v>
      </c>
      <c r="U51" s="25" t="str">
        <f aca="false">IF(AND($A51+(12)&gt;=1,$A51+(12)&lt;=$B$8),INDEX($P$12:$P$59,$A51+(12)),"")</f>
        <v/>
      </c>
      <c r="V51" s="25" t="str">
        <f aca="false">IF(AND($A51+(24)&gt;=1,$A51+(24)&lt;=$B$8),INDEX($P$12:$P$59,$A51+(24)),"")</f>
        <v/>
      </c>
      <c r="W51" s="25" t="str">
        <f aca="false">IF(AND($A51+(36)&gt;=1,$A51+(36)&lt;=$B$8),INDEX($P$12:$P$59,$A51+(36)),"")</f>
        <v/>
      </c>
      <c r="X51" s="25" t="n">
        <f aca="false">IF(SUMPRODUCT(Bobot_Filter!$B$43:$H$43,ISNUMBER(Q51:W51)*1)&gt;0,SUMPRODUCT(Bobot_Filter!$B$43:$H$43,Q51:W51)/SUMPRODUCT(Bobot_Filter!$B$43:$H$43,ISNUMBER(Q51:W51)*1),"")</f>
        <v>0.95150704705359</v>
      </c>
      <c r="Y51" s="25" t="n">
        <f aca="false">IF(AND($A51&gt;=$B$6,$A51&lt;=$B$7),SUMPRODUCT(Bobot_Filter!$B$4:$B$16,X45:X57),"")</f>
        <v>1.00044035059173</v>
      </c>
      <c r="Z51" s="33" t="n">
        <f aca="false">X51/INDEX($Y$12:$Y$59,MAX($B$6,MIN($A51,$B$7)))</f>
        <v>0.951088234786613</v>
      </c>
      <c r="AA51" s="27" t="n">
        <f aca="false">C51/Z51</f>
        <v>308.068157383671</v>
      </c>
      <c r="AB51" s="27" t="n">
        <f aca="false">IF(AND($A51&gt;=$B$6,$A51&lt;=$B$7),SUMPRODUCT(Bobot_Filter!$B$20:$B$32,AA45:AA57),"")</f>
        <v>304.534471241957</v>
      </c>
      <c r="AC51" s="25" t="n">
        <f aca="false">IF(ISNUMBER(AB51),AA51/AB51,"")</f>
        <v>1.01160356700278</v>
      </c>
      <c r="AD51" s="27" t="n">
        <f aca="false">$B$4+$B$3*A51</f>
        <v>305.326142034239</v>
      </c>
      <c r="AE51" s="27" t="n">
        <f aca="false">AD51*Z51</f>
        <v>290.392101461551</v>
      </c>
      <c r="AF51" s="28" t="n">
        <f aca="false">ABS(C51-AE51)/C51</f>
        <v>0.0089006776056283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Data!D45</f>
        <v>284</v>
      </c>
      <c r="D52" s="27" t="n">
        <f aca="false">IF(AND($A52&gt;=$B$6,$A52&lt;=$B$7),SUMPRODUCT(Bobot_Filter!$B$4:$B$16,C46:C58),"")</f>
        <v>309.75</v>
      </c>
      <c r="E52" s="25" t="n">
        <f aca="false">IF(ISNUMBER(D52),C52/D52,"")</f>
        <v>0.916868442292171</v>
      </c>
      <c r="F52" s="25" t="n">
        <f aca="false">IF(AND($A52+(-24)&gt;=1,$A52+(-24)&lt;=$B$8),INDEX($E$12:$E$59,$A52+(-24)),"")</f>
        <v>0.900360144057623</v>
      </c>
      <c r="G52" s="25" t="n">
        <f aca="false">IF(AND($A52+(-12)&gt;=1,$A52+(-12)&lt;=$B$8),INDEX($E$12:$E$59,$A52+(-12)),"")</f>
        <v>0.85171102661597</v>
      </c>
      <c r="H52" s="25" t="n">
        <f aca="false">IF(AND($A52+(0)&gt;=1,$A52+(0)&lt;=$B$8),INDEX($E$12:$E$59,$A52+(0)),"")</f>
        <v>0.916868442292171</v>
      </c>
      <c r="I52" s="25" t="str">
        <f aca="false">IF(AND($A52+(12)&gt;=1,$A52+(12)&lt;=$B$8),INDEX($E$12:$E$59,$A52+(12)),"")</f>
        <v/>
      </c>
      <c r="J52" s="25" t="str">
        <f aca="false">IF(AND($A52+(24)&gt;=1,$A52+(24)&lt;=$B$8),INDEX($E$12:$E$59,$A52+(24)),"")</f>
        <v/>
      </c>
      <c r="K52" s="25" t="n">
        <f aca="false">IF(SUMPRODUCT(Bobot_Filter!$B$38:$F$38,ISNUMBER(F52:J52)*1)&gt;0,SUMPRODUCT(Bobot_Filter!$B$38:$F$38,F52:J52)/SUMPRODUCT(Bobot_Filter!$B$38:$F$38,ISNUMBER(F52:J52)*1),"")</f>
        <v>0.892397920694346</v>
      </c>
      <c r="L52" s="25" t="n">
        <f aca="false">IF(AND($A52&gt;=$B$6,$A52&lt;=$B$7),SUMPRODUCT(Bobot_Filter!$B$4:$B$16,K46:K58),"")</f>
        <v>1.00075437215071</v>
      </c>
      <c r="M52" s="25" t="n">
        <f aca="false">K52/INDEX($L$12:$L$59,MAX($B$6,MIN($A52,$B$7)))</f>
        <v>0.891725228016246</v>
      </c>
      <c r="N52" s="27" t="n">
        <f aca="false">C52/M52</f>
        <v>318.483756068888</v>
      </c>
      <c r="O52" s="27" t="n">
        <f aca="false">IF(AND($A52&gt;=$B$6,$A52&lt;=$B$7),SUMPRODUCT(Bobot_Filter!$B$20:$B$32,N46:N58),"")</f>
        <v>308.927512173245</v>
      </c>
      <c r="P52" s="25" t="n">
        <f aca="false">IF(ISNUMBER(O52),C52/O52,"")</f>
        <v>0.91930951051305</v>
      </c>
      <c r="Q52" s="25" t="str">
        <f aca="false">IF(AND($A52+(-36)&gt;=1,$A52+(-36)&lt;=$B$8),INDEX($P$12:$P$59,$A52+(-36)),"")</f>
        <v/>
      </c>
      <c r="R52" s="25" t="n">
        <f aca="false">IF(AND($A52+(-24)&gt;=1,$A52+(-24)&lt;=$B$8),INDEX($P$12:$P$59,$A52+(-24)),"")</f>
        <v>0.907263519279906</v>
      </c>
      <c r="S52" s="25" t="n">
        <f aca="false">IF(AND($A52+(-12)&gt;=1,$A52+(-12)&lt;=$B$8),INDEX($P$12:$P$59,$A52+(-12)),"")</f>
        <v>0.860130735837941</v>
      </c>
      <c r="T52" s="25" t="n">
        <f aca="false">IF(AND($A52+(0)&gt;=1,$A52+(0)&lt;=$B$8),INDEX($P$12:$P$59,$A52+(0)),"")</f>
        <v>0.91930951051305</v>
      </c>
      <c r="U52" s="25" t="str">
        <f aca="false">IF(AND($A52+(12)&gt;=1,$A52+(12)&lt;=$B$8),INDEX($P$12:$P$59,$A52+(12)),"")</f>
        <v/>
      </c>
      <c r="V52" s="25" t="str">
        <f aca="false">IF(AND($A52+(24)&gt;=1,$A52+(24)&lt;=$B$8),INDEX($P$12:$P$59,$A52+(24)),"")</f>
        <v/>
      </c>
      <c r="W52" s="25" t="str">
        <f aca="false">IF(AND($A52+(36)&gt;=1,$A52+(36)&lt;=$B$8),INDEX($P$12:$P$59,$A52+(36)),"")</f>
        <v/>
      </c>
      <c r="X52" s="25" t="n">
        <f aca="false">IF(SUMPRODUCT(Bobot_Filter!$B$43:$H$43,ISNUMBER(Q52:W52)*1)&gt;0,SUMPRODUCT(Bobot_Filter!$B$43:$H$43,Q52:W52)/SUMPRODUCT(Bobot_Filter!$B$43:$H$43,ISNUMBER(Q52:W52)*1),"")</f>
        <v>0.894105972201598</v>
      </c>
      <c r="Y52" s="25" t="n">
        <f aca="false">IF(AND($A52&gt;=$B$6,$A52&lt;=$B$7),SUMPRODUCT(Bobot_Filter!$B$4:$B$16,X46:X58),"")</f>
        <v>1.00059774298629</v>
      </c>
      <c r="Z52" s="33" t="n">
        <f aca="false">X52/INDEX($Y$12:$Y$59,MAX($B$6,MIN($A52,$B$7)))</f>
        <v>0.893571845897965</v>
      </c>
      <c r="AA52" s="27" t="n">
        <f aca="false">C52/Z52</f>
        <v>317.825590973722</v>
      </c>
      <c r="AB52" s="27" t="n">
        <f aca="false">IF(AND($A52&gt;=$B$6,$A52&lt;=$B$7),SUMPRODUCT(Bobot_Filter!$B$20:$B$32,AA46:AA58),"")</f>
        <v>308.55638436293</v>
      </c>
      <c r="AC52" s="25" t="n">
        <f aca="false">IF(ISNUMBER(AB52),AA52/AB52,"")</f>
        <v>1.0300405601068</v>
      </c>
      <c r="AD52" s="27" t="n">
        <f aca="false">$B$4+$B$3*A52</f>
        <v>306.567189214523</v>
      </c>
      <c r="AE52" s="27" t="n">
        <f aca="false">AD52*Z52</f>
        <v>273.939809158172</v>
      </c>
      <c r="AF52" s="28" t="n">
        <f aca="false">ABS(C52-AE52)/C52</f>
        <v>0.0354232071895358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Data!D46</f>
        <v>274</v>
      </c>
      <c r="D53" s="27" t="n">
        <f aca="false">IF(AND($A53&gt;=$B$6,$A53&lt;=$B$7),SUMPRODUCT(Bobot_Filter!$B$4:$B$16,C47:C59),"")</f>
        <v>310.791666666667</v>
      </c>
      <c r="E53" s="25" t="n">
        <f aca="false">IF(ISNUMBER(D53),C53/D53,"")</f>
        <v>0.881619520042901</v>
      </c>
      <c r="F53" s="25" t="n">
        <f aca="false">IF(AND($A53+(-24)&gt;=1,$A53+(-24)&lt;=$B$8),INDEX($E$12:$E$59,$A53+(-24)),"")</f>
        <v>0.953929539295393</v>
      </c>
      <c r="G53" s="25" t="n">
        <f aca="false">IF(AND($A53+(-12)&gt;=1,$A53+(-12)&lt;=$B$8),INDEX($E$12:$E$59,$A53+(-12)),"")</f>
        <v>0.920214265576544</v>
      </c>
      <c r="H53" s="25" t="n">
        <f aca="false">IF(AND($A53+(0)&gt;=1,$A53+(0)&lt;=$B$8),INDEX($E$12:$E$59,$A53+(0)),"")</f>
        <v>0.881619520042901</v>
      </c>
      <c r="I53" s="25" t="str">
        <f aca="false">IF(AND($A53+(12)&gt;=1,$A53+(12)&lt;=$B$8),INDEX($E$12:$E$59,$A53+(12)),"")</f>
        <v/>
      </c>
      <c r="J53" s="25" t="str">
        <f aca="false">IF(AND($A53+(24)&gt;=1,$A53+(24)&lt;=$B$8),INDEX($E$12:$E$59,$A53+(24)),"")</f>
        <v/>
      </c>
      <c r="K53" s="25" t="n">
        <f aca="false">IF(SUMPRODUCT(Bobot_Filter!$B$38:$F$38,ISNUMBER(F53:J53)*1)&gt;0,SUMPRODUCT(Bobot_Filter!$B$38:$F$38,F53:J53)/SUMPRODUCT(Bobot_Filter!$B$38:$F$38,ISNUMBER(F53:J53)*1),"")</f>
        <v>0.906536105096197</v>
      </c>
      <c r="L53" s="25" t="n">
        <f aca="false">IF(AND($A53&gt;=$B$6,$A53&lt;=$B$7),SUMPRODUCT(Bobot_Filter!$B$4:$B$16,K47:K59),"")</f>
        <v>0.998475595141247</v>
      </c>
      <c r="M53" s="25" t="n">
        <f aca="false">K53/INDEX($L$12:$L$59,MAX($B$6,MIN($A53,$B$7)))</f>
        <v>0.907920142973506</v>
      </c>
      <c r="N53" s="27" t="n">
        <f aca="false">C53/M53</f>
        <v>301.788656326788</v>
      </c>
      <c r="O53" s="27" t="n">
        <f aca="false">IF(AND($A53&gt;=$B$6,$A53&lt;=$B$7),SUMPRODUCT(Bobot_Filter!$B$20:$B$32,N47:N59),"")</f>
        <v>312.181179355912</v>
      </c>
      <c r="P53" s="25" t="n">
        <f aca="false">IF(ISNUMBER(O53),C53/O53,"")</f>
        <v>0.877695447769508</v>
      </c>
      <c r="Q53" s="25" t="str">
        <f aca="false">IF(AND($A53+(-36)&gt;=1,$A53+(-36)&lt;=$B$8),INDEX($P$12:$P$59,$A53+(-36)),"")</f>
        <v/>
      </c>
      <c r="R53" s="25" t="n">
        <f aca="false">IF(AND($A53+(-24)&gt;=1,$A53+(-24)&lt;=$B$8),INDEX($P$12:$P$59,$A53+(-24)),"")</f>
        <v>0.954025706216977</v>
      </c>
      <c r="S53" s="25" t="n">
        <f aca="false">IF(AND($A53+(-12)&gt;=1,$A53+(-12)&lt;=$B$8),INDEX($P$12:$P$59,$A53+(-12)),"")</f>
        <v>0.921208200096558</v>
      </c>
      <c r="T53" s="25" t="n">
        <f aca="false">IF(AND($A53+(0)&gt;=1,$A53+(0)&lt;=$B$8),INDEX($P$12:$P$59,$A53+(0)),"")</f>
        <v>0.877695447769508</v>
      </c>
      <c r="U53" s="25" t="str">
        <f aca="false">IF(AND($A53+(12)&gt;=1,$A53+(12)&lt;=$B$8),INDEX($P$12:$P$59,$A53+(12)),"")</f>
        <v/>
      </c>
      <c r="V53" s="25" t="str">
        <f aca="false">IF(AND($A53+(24)&gt;=1,$A53+(24)&lt;=$B$8),INDEX($P$12:$P$59,$A53+(24)),"")</f>
        <v/>
      </c>
      <c r="W53" s="25" t="str">
        <f aca="false">IF(AND($A53+(36)&gt;=1,$A53+(36)&lt;=$B$8),INDEX($P$12:$P$59,$A53+(36)),"")</f>
        <v/>
      </c>
      <c r="X53" s="25" t="n">
        <f aca="false">IF(SUMPRODUCT(Bobot_Filter!$B$43:$H$43,ISNUMBER(Q53:W53)*1)&gt;0,SUMPRODUCT(Bobot_Filter!$B$43:$H$43,Q53:W53)/SUMPRODUCT(Bobot_Filter!$B$43:$H$43,ISNUMBER(Q53:W53)*1),"")</f>
        <v>0.913095294504019</v>
      </c>
      <c r="Y53" s="25" t="n">
        <f aca="false">IF(AND($A53&gt;=$B$6,$A53&lt;=$B$7),SUMPRODUCT(Bobot_Filter!$B$4:$B$16,X47:X59),"")</f>
        <v>0.999359298139818</v>
      </c>
      <c r="Z53" s="33" t="n">
        <f aca="false">X53/INDEX($Y$12:$Y$59,MAX($B$6,MIN($A53,$B$7)))</f>
        <v>0.913680691422626</v>
      </c>
      <c r="AA53" s="27" t="n">
        <f aca="false">C53/Z53</f>
        <v>299.885947653523</v>
      </c>
      <c r="AB53" s="27" t="n">
        <f aca="false">IF(AND($A53&gt;=$B$6,$A53&lt;=$B$7),SUMPRODUCT(Bobot_Filter!$B$20:$B$32,AA47:AA59),"")</f>
        <v>313.019311429202</v>
      </c>
      <c r="AC53" s="25" t="n">
        <f aca="false">IF(ISNUMBER(AB53),AA53/AB53,"")</f>
        <v>0.958042959983158</v>
      </c>
      <c r="AD53" s="27" t="n">
        <f aca="false">$B$4+$B$3*A53</f>
        <v>307.808236394807</v>
      </c>
      <c r="AE53" s="27" t="n">
        <f aca="false">AD53*Z53</f>
        <v>281.238442254786</v>
      </c>
      <c r="AF53" s="28" t="n">
        <f aca="false">ABS(C53-AE53)/C53</f>
        <v>0.0264176724627234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Data!D47</f>
        <v>340</v>
      </c>
      <c r="D54" s="27" t="str">
        <f aca="false">IF(AND($A54&gt;=$B$6,$A54&lt;=$B$7),SUMPRODUCT(Bobot_Filter!$B$4:$B$16,C48:C60),"")</f>
        <v/>
      </c>
      <c r="E54" s="25" t="str">
        <f aca="false">IF(ISNUMBER(D54),C54/D54,"")</f>
        <v/>
      </c>
      <c r="F54" s="25" t="n">
        <f aca="false">IF(AND($A54+(-24)&gt;=1,$A54+(-24)&lt;=$B$8),INDEX($E$12:$E$59,$A54+(-24)),"")</f>
        <v>1.15749811605124</v>
      </c>
      <c r="G54" s="25" t="n">
        <f aca="false">IF(AND($A54+(-12)&gt;=1,$A54+(-12)&lt;=$B$8),INDEX($E$12:$E$59,$A54+(-12)),"")</f>
        <v>1.07588532883643</v>
      </c>
      <c r="H54" s="25" t="str">
        <f aca="false">IF(AND($A54+(0)&gt;=1,$A54+(0)&lt;=$B$8),INDEX($E$12:$E$59,$A54+(0)),"")</f>
        <v/>
      </c>
      <c r="I54" s="25" t="str">
        <f aca="false">IF(AND($A54+(12)&gt;=1,$A54+(12)&lt;=$B$8),INDEX($E$12:$E$59,$A54+(12)),"")</f>
        <v/>
      </c>
      <c r="J54" s="25" t="str">
        <f aca="false">IF(AND($A54+(24)&gt;=1,$A54+(24)&lt;=$B$8),INDEX($E$12:$E$59,$A54+(24)),"")</f>
        <v/>
      </c>
      <c r="K54" s="25" t="n">
        <f aca="false">IF(SUMPRODUCT(Bobot_Filter!$B$38:$F$38,ISNUMBER(F54:J54)*1)&gt;0,SUMPRODUCT(Bobot_Filter!$B$38:$F$38,F54:J54)/SUMPRODUCT(Bobot_Filter!$B$38:$F$38,ISNUMBER(F54:J54)*1),"")</f>
        <v>1.10308959124136</v>
      </c>
      <c r="L54" s="25" t="str">
        <f aca="false">IF(AND($A54&gt;=$B$6,$A54&lt;=$B$7),SUMPRODUCT(Bobot_Filter!$B$4:$B$16,K48:K60),"")</f>
        <v/>
      </c>
      <c r="M54" s="25" t="n">
        <f aca="false">K54/INDEX($L$12:$L$59,MAX($B$6,MIN($A54,$B$7)))</f>
        <v>1.10477371365829</v>
      </c>
      <c r="N54" s="27" t="n">
        <f aca="false">C54/M54</f>
        <v>307.755331066072</v>
      </c>
      <c r="O54" s="27" t="str">
        <f aca="false">IF(AND($A54&gt;=$B$6,$A54&lt;=$B$7),SUMPRODUCT(Bobot_Filter!$B$20:$B$32,N48:N60),"")</f>
        <v/>
      </c>
      <c r="P54" s="25" t="str">
        <f aca="false">IF(ISNUMBER(O54),C54/O54,"")</f>
        <v/>
      </c>
      <c r="Q54" s="25" t="n">
        <f aca="false">IF(AND($A54+(-36)&gt;=1,$A54+(-36)&lt;=$B$8),INDEX($P$12:$P$59,$A54+(-36)),"")</f>
        <v>1.12921738267664</v>
      </c>
      <c r="R54" s="25" t="n">
        <f aca="false">IF(AND($A54+(-24)&gt;=1,$A54+(-24)&lt;=$B$8),INDEX($P$12:$P$59,$A54+(-24)),"")</f>
        <v>1.15456774416871</v>
      </c>
      <c r="S54" s="25" t="n">
        <f aca="false">IF(AND($A54+(-12)&gt;=1,$A54+(-12)&lt;=$B$8),INDEX($P$12:$P$59,$A54+(-12)),"")</f>
        <v>1.06954908088927</v>
      </c>
      <c r="T54" s="25" t="str">
        <f aca="false">IF(AND($A54+(0)&gt;=1,$A54+(0)&lt;=$B$8),INDEX($P$12:$P$59,$A54+(0)),"")</f>
        <v/>
      </c>
      <c r="U54" s="25" t="str">
        <f aca="false">IF(AND($A54+(12)&gt;=1,$A54+(12)&lt;=$B$8),INDEX($P$12:$P$59,$A54+(12)),"")</f>
        <v/>
      </c>
      <c r="V54" s="25" t="str">
        <f aca="false">IF(AND($A54+(24)&gt;=1,$A54+(24)&lt;=$B$8),INDEX($P$12:$P$59,$A54+(24)),"")</f>
        <v/>
      </c>
      <c r="W54" s="25" t="str">
        <f aca="false">IF(AND($A54+(36)&gt;=1,$A54+(36)&lt;=$B$8),INDEX($P$12:$P$59,$A54+(36)),"")</f>
        <v/>
      </c>
      <c r="X54" s="25" t="n">
        <f aca="false">IF(SUMPRODUCT(Bobot_Filter!$B$43:$H$43,ISNUMBER(Q54:W54)*1)&gt;0,SUMPRODUCT(Bobot_Filter!$B$43:$H$43,Q54:W54)/SUMPRODUCT(Bobot_Filter!$B$43:$H$43,ISNUMBER(Q54:W54)*1),"")</f>
        <v>1.10783335228031</v>
      </c>
      <c r="Y54" s="25" t="str">
        <f aca="false">IF(AND($A54&gt;=$B$6,$A54&lt;=$B$7),SUMPRODUCT(Bobot_Filter!$B$4:$B$16,X48:X60),"")</f>
        <v/>
      </c>
      <c r="Z54" s="33" t="n">
        <f aca="false">X54/INDEX($Y$12:$Y$59,MAX($B$6,MIN($A54,$B$7)))</f>
        <v>1.10854359822579</v>
      </c>
      <c r="AA54" s="27" t="n">
        <f aca="false">C54/Z54</f>
        <v>306.708730756432</v>
      </c>
      <c r="AB54" s="27" t="str">
        <f aca="false">IF(AND($A54&gt;=$B$6,$A54&lt;=$B$7),SUMPRODUCT(Bobot_Filter!$B$20:$B$32,AA48:AA60),"")</f>
        <v/>
      </c>
      <c r="AC54" s="25" t="str">
        <f aca="false">IF(ISNUMBER(AB54),AA54/AB54,"")</f>
        <v/>
      </c>
      <c r="AD54" s="27" t="n">
        <f aca="false">$B$4+$B$3*A54</f>
        <v>309.049283575091</v>
      </c>
      <c r="AE54" s="27" t="n">
        <f aca="false">AD54*Z54</f>
        <v>342.594604843433</v>
      </c>
      <c r="AF54" s="28" t="n">
        <f aca="false">ABS(C54-AE54)/C54</f>
        <v>0.00763119071597955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Data!D48</f>
        <v>352</v>
      </c>
      <c r="D55" s="27" t="str">
        <f aca="false">IF(AND($A55&gt;=$B$6,$A55&lt;=$B$7),SUMPRODUCT(Bobot_Filter!$B$4:$B$16,C49:C61),"")</f>
        <v/>
      </c>
      <c r="E55" s="25" t="str">
        <f aca="false">IF(ISNUMBER(D55),C55/D55,"")</f>
        <v/>
      </c>
      <c r="F55" s="25" t="n">
        <f aca="false">IF(AND($A55+(-24)&gt;=1,$A55+(-24)&lt;=$B$8),INDEX($E$12:$E$59,$A55+(-24)),"")</f>
        <v>0.996118244252016</v>
      </c>
      <c r="G55" s="25" t="n">
        <f aca="false">IF(AND($A55+(-12)&gt;=1,$A55+(-12)&lt;=$B$8),INDEX($E$12:$E$59,$A55+(-12)),"")</f>
        <v>1.12996898787708</v>
      </c>
      <c r="H55" s="25" t="str">
        <f aca="false">IF(AND($A55+(0)&gt;=1,$A55+(0)&lt;=$B$8),INDEX($E$12:$E$59,$A55+(0)),"")</f>
        <v/>
      </c>
      <c r="I55" s="25" t="str">
        <f aca="false">IF(AND($A55+(12)&gt;=1,$A55+(12)&lt;=$B$8),INDEX($E$12:$E$59,$A55+(12)),"")</f>
        <v/>
      </c>
      <c r="J55" s="25" t="str">
        <f aca="false">IF(AND($A55+(24)&gt;=1,$A55+(24)&lt;=$B$8),INDEX($E$12:$E$59,$A55+(24)),"")</f>
        <v/>
      </c>
      <c r="K55" s="25" t="n">
        <f aca="false">IF(SUMPRODUCT(Bobot_Filter!$B$38:$F$38,ISNUMBER(F55:J55)*1)&gt;0,SUMPRODUCT(Bobot_Filter!$B$38:$F$38,F55:J55)/SUMPRODUCT(Bobot_Filter!$B$38:$F$38,ISNUMBER(F55:J55)*1),"")</f>
        <v>1.08535207333539</v>
      </c>
      <c r="L55" s="25" t="str">
        <f aca="false">IF(AND($A55&gt;=$B$6,$A55&lt;=$B$7),SUMPRODUCT(Bobot_Filter!$B$4:$B$16,K49:K61),"")</f>
        <v/>
      </c>
      <c r="M55" s="25" t="n">
        <f aca="false">K55/INDEX($L$12:$L$59,MAX($B$6,MIN($A55,$B$7)))</f>
        <v>1.08700911531228</v>
      </c>
      <c r="N55" s="27" t="n">
        <f aca="false">C55/M55</f>
        <v>323.824331407631</v>
      </c>
      <c r="O55" s="27" t="str">
        <f aca="false">IF(AND($A55&gt;=$B$6,$A55&lt;=$B$7),SUMPRODUCT(Bobot_Filter!$B$20:$B$32,N49:N61),"")</f>
        <v/>
      </c>
      <c r="P55" s="25" t="str">
        <f aca="false">IF(ISNUMBER(O55),C55/O55,"")</f>
        <v/>
      </c>
      <c r="Q55" s="25" t="n">
        <f aca="false">IF(AND($A55+(-36)&gt;=1,$A55+(-36)&lt;=$B$8),INDEX($P$12:$P$59,$A55+(-36)),"")</f>
        <v>1.08331582074353</v>
      </c>
      <c r="R55" s="25" t="n">
        <f aca="false">IF(AND($A55+(-24)&gt;=1,$A55+(-24)&lt;=$B$8),INDEX($P$12:$P$59,$A55+(-24)),"")</f>
        <v>1.00491034485507</v>
      </c>
      <c r="S55" s="25" t="n">
        <f aca="false">IF(AND($A55+(-12)&gt;=1,$A55+(-12)&lt;=$B$8),INDEX($P$12:$P$59,$A55+(-12)),"")</f>
        <v>1.10837712003128</v>
      </c>
      <c r="T55" s="25" t="str">
        <f aca="false">IF(AND($A55+(0)&gt;=1,$A55+(0)&lt;=$B$8),INDEX($P$12:$P$59,$A55+(0)),"")</f>
        <v/>
      </c>
      <c r="U55" s="25" t="str">
        <f aca="false">IF(AND($A55+(12)&gt;=1,$A55+(12)&lt;=$B$8),INDEX($P$12:$P$59,$A55+(12)),"")</f>
        <v/>
      </c>
      <c r="V55" s="25" t="str">
        <f aca="false">IF(AND($A55+(24)&gt;=1,$A55+(24)&lt;=$B$8),INDEX($P$12:$P$59,$A55+(24)),"")</f>
        <v/>
      </c>
      <c r="W55" s="25" t="str">
        <f aca="false">IF(AND($A55+(36)&gt;=1,$A55+(36)&lt;=$B$8),INDEX($P$12:$P$59,$A55+(36)),"")</f>
        <v/>
      </c>
      <c r="X55" s="25" t="n">
        <f aca="false">IF(SUMPRODUCT(Bobot_Filter!$B$43:$H$43,ISNUMBER(Q55:W55)*1)&gt;0,SUMPRODUCT(Bobot_Filter!$B$43:$H$43,Q55:W55)/SUMPRODUCT(Bobot_Filter!$B$43:$H$43,ISNUMBER(Q55:W55)*1),"")</f>
        <v>1.06971131175792</v>
      </c>
      <c r="Y55" s="25" t="str">
        <f aca="false">IF(AND($A55&gt;=$B$6,$A55&lt;=$B$7),SUMPRODUCT(Bobot_Filter!$B$4:$B$16,X49:X61),"")</f>
        <v/>
      </c>
      <c r="Z55" s="33" t="n">
        <f aca="false">X55/INDEX($Y$12:$Y$59,MAX($B$6,MIN($A55,$B$7)))</f>
        <v>1.07039711718203</v>
      </c>
      <c r="AA55" s="27" t="n">
        <f aca="false">C55/Z55</f>
        <v>328.849914064314</v>
      </c>
      <c r="AB55" s="27" t="str">
        <f aca="false">IF(AND($A55&gt;=$B$6,$A55&lt;=$B$7),SUMPRODUCT(Bobot_Filter!$B$20:$B$32,AA49:AA61),"")</f>
        <v/>
      </c>
      <c r="AC55" s="25" t="str">
        <f aca="false">IF(ISNUMBER(AB55),AA55/AB55,"")</f>
        <v/>
      </c>
      <c r="AD55" s="27" t="n">
        <f aca="false">$B$4+$B$3*A55</f>
        <v>310.290330755375</v>
      </c>
      <c r="AE55" s="27" t="n">
        <f aca="false">AD55*Z55</f>
        <v>332.133875530012</v>
      </c>
      <c r="AF55" s="28" t="n">
        <f aca="false">ABS(C55-AE55)/C55</f>
        <v>0.0564378536079203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Data!D49</f>
        <v>294</v>
      </c>
      <c r="D56" s="27" t="str">
        <f aca="false">IF(AND($A56&gt;=$B$6,$A56&lt;=$B$7),SUMPRODUCT(Bobot_Filter!$B$4:$B$16,C50:C62),"")</f>
        <v/>
      </c>
      <c r="E56" s="25" t="str">
        <f aca="false">IF(ISNUMBER(D56),C56/D56,"")</f>
        <v/>
      </c>
      <c r="F56" s="25" t="n">
        <f aca="false">IF(AND($A56+(-24)&gt;=1,$A56+(-24)&lt;=$B$8),INDEX($E$12:$E$59,$A56+(-24)),"")</f>
        <v>0.904316866933689</v>
      </c>
      <c r="G56" s="25" t="n">
        <f aca="false">IF(AND($A56+(-12)&gt;=1,$A56+(-12)&lt;=$B$8),INDEX($E$12:$E$59,$A56+(-12)),"")</f>
        <v>0.959594537519358</v>
      </c>
      <c r="H56" s="25" t="str">
        <f aca="false">IF(AND($A56+(0)&gt;=1,$A56+(0)&lt;=$B$8),INDEX($E$12:$E$59,$A56+(0)),"")</f>
        <v/>
      </c>
      <c r="I56" s="25" t="str">
        <f aca="false">IF(AND($A56+(12)&gt;=1,$A56+(12)&lt;=$B$8),INDEX($E$12:$E$59,$A56+(12)),"")</f>
        <v/>
      </c>
      <c r="J56" s="25" t="str">
        <f aca="false">IF(AND($A56+(24)&gt;=1,$A56+(24)&lt;=$B$8),INDEX($E$12:$E$59,$A56+(24)),"")</f>
        <v/>
      </c>
      <c r="K56" s="25" t="n">
        <f aca="false">IF(SUMPRODUCT(Bobot_Filter!$B$38:$F$38,ISNUMBER(F56:J56)*1)&gt;0,SUMPRODUCT(Bobot_Filter!$B$38:$F$38,F56:J56)/SUMPRODUCT(Bobot_Filter!$B$38:$F$38,ISNUMBER(F56:J56)*1),"")</f>
        <v>0.941168647324135</v>
      </c>
      <c r="L56" s="25" t="str">
        <f aca="false">IF(AND($A56&gt;=$B$6,$A56&lt;=$B$7),SUMPRODUCT(Bobot_Filter!$B$4:$B$16,K50:K62),"")</f>
        <v/>
      </c>
      <c r="M56" s="25" t="n">
        <f aca="false">K56/INDEX($L$12:$L$59,MAX($B$6,MIN($A56,$B$7)))</f>
        <v>0.942605559819412</v>
      </c>
      <c r="N56" s="27" t="n">
        <f aca="false">C56/M56</f>
        <v>311.901406624767</v>
      </c>
      <c r="O56" s="27" t="str">
        <f aca="false">IF(AND($A56&gt;=$B$6,$A56&lt;=$B$7),SUMPRODUCT(Bobot_Filter!$B$20:$B$32,N50:N62),"")</f>
        <v/>
      </c>
      <c r="P56" s="25" t="str">
        <f aca="false">IF(ISNUMBER(O56),C56/O56,"")</f>
        <v/>
      </c>
      <c r="Q56" s="25" t="n">
        <f aca="false">IF(AND($A56+(-36)&gt;=1,$A56+(-36)&lt;=$B$8),INDEX($P$12:$P$59,$A56+(-36)),"")</f>
        <v>0.918634352370541</v>
      </c>
      <c r="R56" s="25" t="n">
        <f aca="false">IF(AND($A56+(-24)&gt;=1,$A56+(-24)&lt;=$B$8),INDEX($P$12:$P$59,$A56+(-24)),"")</f>
        <v>0.917235558583183</v>
      </c>
      <c r="S56" s="25" t="n">
        <f aca="false">IF(AND($A56+(-12)&gt;=1,$A56+(-12)&lt;=$B$8),INDEX($P$12:$P$59,$A56+(-12)),"")</f>
        <v>0.939439210622214</v>
      </c>
      <c r="T56" s="25" t="str">
        <f aca="false">IF(AND($A56+(0)&gt;=1,$A56+(0)&lt;=$B$8),INDEX($P$12:$P$59,$A56+(0)),"")</f>
        <v/>
      </c>
      <c r="U56" s="25" t="str">
        <f aca="false">IF(AND($A56+(12)&gt;=1,$A56+(12)&lt;=$B$8),INDEX($P$12:$P$59,$A56+(12)),"")</f>
        <v/>
      </c>
      <c r="V56" s="25" t="str">
        <f aca="false">IF(AND($A56+(24)&gt;=1,$A56+(24)&lt;=$B$8),INDEX($P$12:$P$59,$A56+(24)),"")</f>
        <v/>
      </c>
      <c r="W56" s="25" t="str">
        <f aca="false">IF(AND($A56+(36)&gt;=1,$A56+(36)&lt;=$B$8),INDEX($P$12:$P$59,$A56+(36)),"")</f>
        <v/>
      </c>
      <c r="X56" s="25" t="n">
        <f aca="false">IF(SUMPRODUCT(Bobot_Filter!$B$43:$H$43,ISNUMBER(Q56:W56)*1)&gt;0,SUMPRODUCT(Bobot_Filter!$B$43:$H$43,Q56:W56)/SUMPRODUCT(Bobot_Filter!$B$43:$H$43,ISNUMBER(Q56:W56)*1),"")</f>
        <v>0.928570516900592</v>
      </c>
      <c r="Y56" s="25" t="str">
        <f aca="false">IF(AND($A56&gt;=$B$6,$A56&lt;=$B$7),SUMPRODUCT(Bobot_Filter!$B$4:$B$16,X50:X62),"")</f>
        <v/>
      </c>
      <c r="Z56" s="33" t="n">
        <f aca="false">X56/INDEX($Y$12:$Y$59,MAX($B$6,MIN($A56,$B$7)))</f>
        <v>0.929165835179609</v>
      </c>
      <c r="AA56" s="27" t="n">
        <f aca="false">C56/Z56</f>
        <v>316.412839203423</v>
      </c>
      <c r="AB56" s="27" t="str">
        <f aca="false">IF(AND($A56&gt;=$B$6,$A56&lt;=$B$7),SUMPRODUCT(Bobot_Filter!$B$20:$B$32,AA50:AA62),"")</f>
        <v/>
      </c>
      <c r="AC56" s="25" t="str">
        <f aca="false">IF(ISNUMBER(AB56),AA56/AB56,"")</f>
        <v/>
      </c>
      <c r="AD56" s="27" t="n">
        <f aca="false">$B$4+$B$3*A56</f>
        <v>311.531377935659</v>
      </c>
      <c r="AE56" s="27" t="n">
        <f aca="false">AD56*Z56</f>
        <v>289.464312964241</v>
      </c>
      <c r="AF56" s="28" t="n">
        <f aca="false">ABS(C56-AE56)/C56</f>
        <v>0.0154275069243513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Data!D50</f>
        <v>403</v>
      </c>
      <c r="D57" s="27" t="str">
        <f aca="false">IF(AND($A57&gt;=$B$6,$A57&lt;=$B$7),SUMPRODUCT(Bobot_Filter!$B$4:$B$16,C51:C63),"")</f>
        <v/>
      </c>
      <c r="E57" s="25" t="str">
        <f aca="false">IF(ISNUMBER(D57),C57/D57,"")</f>
        <v/>
      </c>
      <c r="F57" s="25" t="n">
        <f aca="false">IF(AND($A57+(-24)&gt;=1,$A57+(-24)&lt;=$B$8),INDEX($E$12:$E$59,$A57+(-24)),"")</f>
        <v>1.05117239345229</v>
      </c>
      <c r="G57" s="25" t="n">
        <f aca="false">IF(AND($A57+(-12)&gt;=1,$A57+(-12)&lt;=$B$8),INDEX($E$12:$E$59,$A57+(-12)),"")</f>
        <v>1.20352990614932</v>
      </c>
      <c r="H57" s="25" t="str">
        <f aca="false">IF(AND($A57+(0)&gt;=1,$A57+(0)&lt;=$B$8),INDEX($E$12:$E$59,$A57+(0)),"")</f>
        <v/>
      </c>
      <c r="I57" s="25" t="str">
        <f aca="false">IF(AND($A57+(12)&gt;=1,$A57+(12)&lt;=$B$8),INDEX($E$12:$E$59,$A57+(12)),"")</f>
        <v/>
      </c>
      <c r="J57" s="25" t="str">
        <f aca="false">IF(AND($A57+(24)&gt;=1,$A57+(24)&lt;=$B$8),INDEX($E$12:$E$59,$A57+(24)),"")</f>
        <v/>
      </c>
      <c r="K57" s="25" t="n">
        <f aca="false">IF(SUMPRODUCT(Bobot_Filter!$B$38:$F$38,ISNUMBER(F57:J57)*1)&gt;0,SUMPRODUCT(Bobot_Filter!$B$38:$F$38,F57:J57)/SUMPRODUCT(Bobot_Filter!$B$38:$F$38,ISNUMBER(F57:J57)*1),"")</f>
        <v>1.15274406858365</v>
      </c>
      <c r="L57" s="25" t="str">
        <f aca="false">IF(AND($A57&gt;=$B$6,$A57&lt;=$B$7),SUMPRODUCT(Bobot_Filter!$B$4:$B$16,K51:K63),"")</f>
        <v/>
      </c>
      <c r="M57" s="25" t="n">
        <f aca="false">K57/INDEX($L$12:$L$59,MAX($B$6,MIN($A57,$B$7)))</f>
        <v>1.15450400009083</v>
      </c>
      <c r="N57" s="27" t="n">
        <f aca="false">C57/M57</f>
        <v>349.067651535458</v>
      </c>
      <c r="O57" s="27" t="str">
        <f aca="false">IF(AND($A57&gt;=$B$6,$A57&lt;=$B$7),SUMPRODUCT(Bobot_Filter!$B$20:$B$32,N51:N63),"")</f>
        <v/>
      </c>
      <c r="P57" s="25" t="str">
        <f aca="false">IF(ISNUMBER(O57),C57/O57,"")</f>
        <v/>
      </c>
      <c r="Q57" s="25" t="n">
        <f aca="false">IF(AND($A57+(-36)&gt;=1,$A57+(-36)&lt;=$B$8),INDEX($P$12:$P$59,$A57+(-36)),"")</f>
        <v>0.919843176461566</v>
      </c>
      <c r="R57" s="25" t="n">
        <f aca="false">IF(AND($A57+(-24)&gt;=1,$A57+(-24)&lt;=$B$8),INDEX($P$12:$P$59,$A57+(-24)),"")</f>
        <v>1.0666554029228</v>
      </c>
      <c r="S57" s="25" t="n">
        <f aca="false">IF(AND($A57+(-12)&gt;=1,$A57+(-12)&lt;=$B$8),INDEX($P$12:$P$59,$A57+(-12)),"")</f>
        <v>1.19054516367326</v>
      </c>
      <c r="T57" s="25" t="str">
        <f aca="false">IF(AND($A57+(0)&gt;=1,$A57+(0)&lt;=$B$8),INDEX($P$12:$P$59,$A57+(0)),"")</f>
        <v/>
      </c>
      <c r="U57" s="25" t="str">
        <f aca="false">IF(AND($A57+(12)&gt;=1,$A57+(12)&lt;=$B$8),INDEX($P$12:$P$59,$A57+(12)),"")</f>
        <v/>
      </c>
      <c r="V57" s="25" t="str">
        <f aca="false">IF(AND($A57+(24)&gt;=1,$A57+(24)&lt;=$B$8),INDEX($P$12:$P$59,$A57+(24)),"")</f>
        <v/>
      </c>
      <c r="W57" s="25" t="str">
        <f aca="false">IF(AND($A57+(36)&gt;=1,$A57+(36)&lt;=$B$8),INDEX($P$12:$P$59,$A57+(36)),"")</f>
        <v/>
      </c>
      <c r="X57" s="25" t="n">
        <f aca="false">IF(SUMPRODUCT(Bobot_Filter!$B$43:$H$43,ISNUMBER(Q57:W57)*1)&gt;0,SUMPRODUCT(Bobot_Filter!$B$43:$H$43,Q57:W57)/SUMPRODUCT(Bobot_Filter!$B$43:$H$43,ISNUMBER(Q57:W57)*1),"")</f>
        <v>1.10413157888783</v>
      </c>
      <c r="Y57" s="25" t="str">
        <f aca="false">IF(AND($A57&gt;=$B$6,$A57&lt;=$B$7),SUMPRODUCT(Bobot_Filter!$B$4:$B$16,X51:X63),"")</f>
        <v/>
      </c>
      <c r="Z57" s="33" t="n">
        <f aca="false">X57/INDEX($Y$12:$Y$59,MAX($B$6,MIN($A57,$B$7)))</f>
        <v>1.10483945157966</v>
      </c>
      <c r="AA57" s="27" t="n">
        <f aca="false">C57/Z57</f>
        <v>364.758879150999</v>
      </c>
      <c r="AB57" s="27" t="str">
        <f aca="false">IF(AND($A57&gt;=$B$6,$A57&lt;=$B$7),SUMPRODUCT(Bobot_Filter!$B$20:$B$32,AA51:AA63),"")</f>
        <v/>
      </c>
      <c r="AC57" s="25" t="str">
        <f aca="false">IF(ISNUMBER(AB57),AA57/AB57,"")</f>
        <v/>
      </c>
      <c r="AD57" s="27" t="n">
        <f aca="false">$B$4+$B$3*A57</f>
        <v>312.772425115943</v>
      </c>
      <c r="AE57" s="27" t="n">
        <f aca="false">AD57*Z57</f>
        <v>345.563314634337</v>
      </c>
      <c r="AF57" s="28" t="n">
        <f aca="false">ABS(C57-AE57)/C57</f>
        <v>0.142522792470628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Data!D51</f>
        <v>353</v>
      </c>
      <c r="D58" s="27" t="str">
        <f aca="false">IF(AND($A58&gt;=$B$6,$A58&lt;=$B$7),SUMPRODUCT(Bobot_Filter!$B$4:$B$16,C52:C64),"")</f>
        <v/>
      </c>
      <c r="E58" s="25" t="str">
        <f aca="false">IF(ISNUMBER(D58),C58/D58,"")</f>
        <v/>
      </c>
      <c r="F58" s="25" t="n">
        <f aca="false">IF(AND($A58+(-24)&gt;=1,$A58+(-24)&lt;=$B$8),INDEX($E$12:$E$59,$A58+(-24)),"")</f>
        <v>1.23834652594547</v>
      </c>
      <c r="G58" s="25" t="n">
        <f aca="false">IF(AND($A58+(-12)&gt;=1,$A58+(-12)&lt;=$B$8),INDEX($E$12:$E$59,$A58+(-12)),"")</f>
        <v>1.07327946503204</v>
      </c>
      <c r="H58" s="25" t="str">
        <f aca="false">IF(AND($A58+(0)&gt;=1,$A58+(0)&lt;=$B$8),INDEX($E$12:$E$59,$A58+(0)),"")</f>
        <v/>
      </c>
      <c r="I58" s="25" t="str">
        <f aca="false">IF(AND($A58+(12)&gt;=1,$A58+(12)&lt;=$B$8),INDEX($E$12:$E$59,$A58+(12)),"")</f>
        <v/>
      </c>
      <c r="J58" s="25" t="str">
        <f aca="false">IF(AND($A58+(24)&gt;=1,$A58+(24)&lt;=$B$8),INDEX($E$12:$E$59,$A58+(24)),"")</f>
        <v/>
      </c>
      <c r="K58" s="25" t="n">
        <f aca="false">IF(SUMPRODUCT(Bobot_Filter!$B$38:$F$38,ISNUMBER(F58:J58)*1)&gt;0,SUMPRODUCT(Bobot_Filter!$B$38:$F$38,F58:J58)/SUMPRODUCT(Bobot_Filter!$B$38:$F$38,ISNUMBER(F58:J58)*1),"")</f>
        <v>1.12830181866985</v>
      </c>
      <c r="L58" s="25" t="str">
        <f aca="false">IF(AND($A58&gt;=$B$6,$A58&lt;=$B$7),SUMPRODUCT(Bobot_Filter!$B$4:$B$16,K52:K64),"")</f>
        <v/>
      </c>
      <c r="M58" s="25" t="n">
        <f aca="false">K58/INDEX($L$12:$L$59,MAX($B$6,MIN($A58,$B$7)))</f>
        <v>1.13002443340665</v>
      </c>
      <c r="N58" s="27" t="n">
        <f aca="false">C58/M58</f>
        <v>312.382626042715</v>
      </c>
      <c r="O58" s="27" t="str">
        <f aca="false">IF(AND($A58&gt;=$B$6,$A58&lt;=$B$7),SUMPRODUCT(Bobot_Filter!$B$20:$B$32,N52:N64),"")</f>
        <v/>
      </c>
      <c r="P58" s="25" t="str">
        <f aca="false">IF(ISNUMBER(O58),C58/O58,"")</f>
        <v/>
      </c>
      <c r="Q58" s="25" t="n">
        <f aca="false">IF(AND($A58+(-36)&gt;=1,$A58+(-36)&lt;=$B$8),INDEX($P$12:$P$59,$A58+(-36)),"")</f>
        <v>1.27935507085558</v>
      </c>
      <c r="R58" s="25" t="n">
        <f aca="false">IF(AND($A58+(-24)&gt;=1,$A58+(-24)&lt;=$B$8),INDEX($P$12:$P$59,$A58+(-24)),"")</f>
        <v>1.25086698986718</v>
      </c>
      <c r="S58" s="25" t="n">
        <f aca="false">IF(AND($A58+(-12)&gt;=1,$A58+(-12)&lt;=$B$8),INDEX($P$12:$P$59,$A58+(-12)),"")</f>
        <v>1.07831380522376</v>
      </c>
      <c r="T58" s="25" t="str">
        <f aca="false">IF(AND($A58+(0)&gt;=1,$A58+(0)&lt;=$B$8),INDEX($P$12:$P$59,$A58+(0)),"")</f>
        <v/>
      </c>
      <c r="U58" s="25" t="str">
        <f aca="false">IF(AND($A58+(12)&gt;=1,$A58+(12)&lt;=$B$8),INDEX($P$12:$P$59,$A58+(12)),"")</f>
        <v/>
      </c>
      <c r="V58" s="25" t="str">
        <f aca="false">IF(AND($A58+(24)&gt;=1,$A58+(24)&lt;=$B$8),INDEX($P$12:$P$59,$A58+(24)),"")</f>
        <v/>
      </c>
      <c r="W58" s="25" t="str">
        <f aca="false">IF(AND($A58+(36)&gt;=1,$A58+(36)&lt;=$B$8),INDEX($P$12:$P$59,$A58+(36)),"")</f>
        <v/>
      </c>
      <c r="X58" s="25" t="n">
        <f aca="false">IF(SUMPRODUCT(Bobot_Filter!$B$43:$H$43,ISNUMBER(Q58:W58)*1)&gt;0,SUMPRODUCT(Bobot_Filter!$B$43:$H$43,Q58:W58)/SUMPRODUCT(Bobot_Filter!$B$43:$H$43,ISNUMBER(Q58:W58)*1),"")</f>
        <v>1.16933841104354</v>
      </c>
      <c r="Y58" s="25" t="str">
        <f aca="false">IF(AND($A58&gt;=$B$6,$A58&lt;=$B$7),SUMPRODUCT(Bobot_Filter!$B$4:$B$16,X52:X64),"")</f>
        <v/>
      </c>
      <c r="Z58" s="33" t="n">
        <f aca="false">X58/INDEX($Y$12:$Y$59,MAX($B$6,MIN($A58,$B$7)))</f>
        <v>1.17008808865852</v>
      </c>
      <c r="AA58" s="27" t="n">
        <f aca="false">C58/Z58</f>
        <v>301.686687884079</v>
      </c>
      <c r="AB58" s="27" t="str">
        <f aca="false">IF(AND($A58&gt;=$B$6,$A58&lt;=$B$7),SUMPRODUCT(Bobot_Filter!$B$20:$B$32,AA52:AA64),"")</f>
        <v/>
      </c>
      <c r="AC58" s="25" t="str">
        <f aca="false">IF(ISNUMBER(AB58),AA58/AB58,"")</f>
        <v/>
      </c>
      <c r="AD58" s="27" t="n">
        <f aca="false">$B$4+$B$3*A58</f>
        <v>314.013472296226</v>
      </c>
      <c r="AE58" s="27" t="n">
        <f aca="false">AD58*Z58</f>
        <v>367.423423612116</v>
      </c>
      <c r="AF58" s="28" t="n">
        <f aca="false">ABS(C58-AE58)/C58</f>
        <v>0.0408595569748322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Data!D52</f>
        <v>278</v>
      </c>
      <c r="D59" s="27" t="str">
        <f aca="false">IF(AND($A59&gt;=$B$6,$A59&lt;=$B$7),SUMPRODUCT(Bobot_Filter!$B$4:$B$16,C53:C65),"")</f>
        <v/>
      </c>
      <c r="E59" s="25" t="str">
        <f aca="false">IF(ISNUMBER(D59),C59/D59,"")</f>
        <v/>
      </c>
      <c r="F59" s="25" t="n">
        <f aca="false">IF(AND($A59+(-24)&gt;=1,$A59+(-24)&lt;=$B$8),INDEX($E$12:$E$59,$A59+(-24)),"")</f>
        <v>0.916861826697892</v>
      </c>
      <c r="G59" s="25" t="n">
        <f aca="false">IF(AND($A59+(-12)&gt;=1,$A59+(-12)&lt;=$B$8),INDEX($E$12:$E$59,$A59+(-12)),"")</f>
        <v>0.948419301164726</v>
      </c>
      <c r="H59" s="25" t="str">
        <f aca="false">IF(AND($A59+(0)&gt;=1,$A59+(0)&lt;=$B$8),INDEX($E$12:$E$59,$A59+(0)),"")</f>
        <v/>
      </c>
      <c r="I59" s="25" t="str">
        <f aca="false">IF(AND($A59+(12)&gt;=1,$A59+(12)&lt;=$B$8),INDEX($E$12:$E$59,$A59+(12)),"")</f>
        <v/>
      </c>
      <c r="J59" s="25" t="str">
        <f aca="false">IF(AND($A59+(24)&gt;=1,$A59+(24)&lt;=$B$8),INDEX($E$12:$E$59,$A59+(24)),"")</f>
        <v/>
      </c>
      <c r="K59" s="25" t="n">
        <f aca="false">IF(SUMPRODUCT(Bobot_Filter!$B$38:$F$38,ISNUMBER(F59:J59)*1)&gt;0,SUMPRODUCT(Bobot_Filter!$B$38:$F$38,F59:J59)/SUMPRODUCT(Bobot_Filter!$B$38:$F$38,ISNUMBER(F59:J59)*1),"")</f>
        <v>0.937900143009115</v>
      </c>
      <c r="L59" s="25" t="str">
        <f aca="false">IF(AND($A59&gt;=$B$6,$A59&lt;=$B$7),SUMPRODUCT(Bobot_Filter!$B$4:$B$16,K53:K65),"")</f>
        <v/>
      </c>
      <c r="M59" s="25" t="n">
        <f aca="false">K59/INDEX($L$12:$L$59,MAX($B$6,MIN($A59,$B$7)))</f>
        <v>0.939332065373553</v>
      </c>
      <c r="N59" s="27" t="n">
        <f aca="false">C59/M59</f>
        <v>295.954977209732</v>
      </c>
      <c r="O59" s="27" t="str">
        <f aca="false">IF(AND($A59&gt;=$B$6,$A59&lt;=$B$7),SUMPRODUCT(Bobot_Filter!$B$20:$B$32,N53:N65),"")</f>
        <v/>
      </c>
      <c r="P59" s="25" t="str">
        <f aca="false">IF(ISNUMBER(O59),C59/O59,"")</f>
        <v/>
      </c>
      <c r="Q59" s="25" t="n">
        <f aca="false">IF(AND($A59+(-36)&gt;=1,$A59+(-36)&lt;=$B$8),INDEX($P$12:$P$59,$A59+(-36)),"")</f>
        <v>1.06078141166518</v>
      </c>
      <c r="R59" s="25" t="n">
        <f aca="false">IF(AND($A59+(-24)&gt;=1,$A59+(-24)&lt;=$B$8),INDEX($P$12:$P$59,$A59+(-24)),"")</f>
        <v>0.914867907677078</v>
      </c>
      <c r="S59" s="25" t="n">
        <f aca="false">IF(AND($A59+(-12)&gt;=1,$A59+(-12)&lt;=$B$8),INDEX($P$12:$P$59,$A59+(-12)),"")</f>
        <v>0.965907405115052</v>
      </c>
      <c r="T59" s="25" t="str">
        <f aca="false">IF(AND($A59+(0)&gt;=1,$A59+(0)&lt;=$B$8),INDEX($P$12:$P$59,$A59+(0)),"")</f>
        <v/>
      </c>
      <c r="U59" s="25" t="str">
        <f aca="false">IF(AND($A59+(12)&gt;=1,$A59+(12)&lt;=$B$8),INDEX($P$12:$P$59,$A59+(12)),"")</f>
        <v/>
      </c>
      <c r="V59" s="25" t="str">
        <f aca="false">IF(AND($A59+(24)&gt;=1,$A59+(24)&lt;=$B$8),INDEX($P$12:$P$59,$A59+(24)),"")</f>
        <v/>
      </c>
      <c r="W59" s="25" t="str">
        <f aca="false">IF(AND($A59+(36)&gt;=1,$A59+(36)&lt;=$B$8),INDEX($P$12:$P$59,$A59+(36)),"")</f>
        <v/>
      </c>
      <c r="X59" s="25" t="n">
        <f aca="false">IF(SUMPRODUCT(Bobot_Filter!$B$43:$H$43,ISNUMBER(Q59:W59)*1)&gt;0,SUMPRODUCT(Bobot_Filter!$B$43:$H$43,Q59:W59)/SUMPRODUCT(Bobot_Filter!$B$43:$H$43,ISNUMBER(Q59:W59)*1),"")</f>
        <v>0.964706573727416</v>
      </c>
      <c r="Y59" s="25" t="str">
        <f aca="false">IF(AND($A59&gt;=$B$6,$A59&lt;=$B$7),SUMPRODUCT(Bobot_Filter!$B$4:$B$16,X53:X65),"")</f>
        <v/>
      </c>
      <c r="Z59" s="33" t="n">
        <f aca="false">X59/INDEX($Y$12:$Y$59,MAX($B$6,MIN($A59,$B$7)))</f>
        <v>0.965325059288583</v>
      </c>
      <c r="AA59" s="27" t="n">
        <f aca="false">C59/Z59</f>
        <v>287.985893792997</v>
      </c>
      <c r="AB59" s="27" t="str">
        <f aca="false">IF(AND($A59&gt;=$B$6,$A59&lt;=$B$7),SUMPRODUCT(Bobot_Filter!$B$20:$B$32,AA53:AA65),"")</f>
        <v/>
      </c>
      <c r="AC59" s="25" t="str">
        <f aca="false">IF(ISNUMBER(AB59),AA59/AB59,"")</f>
        <v/>
      </c>
      <c r="AD59" s="27" t="n">
        <f aca="false">$B$4+$B$3*A59</f>
        <v>315.25451947651</v>
      </c>
      <c r="AE59" s="27" t="n">
        <f aca="false">AD59*Z59</f>
        <v>304.323087704656</v>
      </c>
      <c r="AF59" s="28" t="n">
        <f aca="false">ABS(C59-AE59)/C59</f>
        <v>0.094687365844087</v>
      </c>
    </row>
    <row r="60" customFormat="false" ht="15" hidden="false" customHeight="false" outlineLevel="0" collapsed="false">
      <c r="A60" s="8" t="n">
        <v>49</v>
      </c>
      <c r="B60" s="29" t="n">
        <f aca="false">EDATE(B59,1)</f>
        <v>45809</v>
      </c>
      <c r="C60" s="23" t="n">
        <f aca="false">Data!D53</f>
        <v>330</v>
      </c>
      <c r="Z60" s="33" t="n">
        <f aca="false">Z48</f>
        <v>0.927211258881857</v>
      </c>
      <c r="AD60" s="27" t="n">
        <f aca="false">$B$4+$B$3*A60</f>
        <v>316.495566656794</v>
      </c>
      <c r="AE60" s="30" t="n">
        <f aca="false">AD60*Z60</f>
        <v>293.458252790373</v>
      </c>
      <c r="AF60" s="28" t="n">
        <f aca="false">ABS(C60-AE60)/C60</f>
        <v>0.1107325673019</v>
      </c>
    </row>
    <row r="61" customFormat="false" ht="15" hidden="false" customHeight="false" outlineLevel="0" collapsed="false">
      <c r="A61" s="8" t="n">
        <v>50</v>
      </c>
      <c r="B61" s="29" t="n">
        <f aca="false">EDATE(B60,1)</f>
        <v>45839</v>
      </c>
      <c r="C61" s="23" t="n">
        <f aca="false">Data!D54</f>
        <v>375</v>
      </c>
      <c r="Z61" s="33" t="n">
        <f aca="false">Z49</f>
        <v>1.04246608948984</v>
      </c>
      <c r="AD61" s="27" t="n">
        <f aca="false">$B$4+$B$3*A61</f>
        <v>317.736613837078</v>
      </c>
      <c r="AE61" s="30" t="n">
        <f aca="false">AD61*Z61</f>
        <v>331.229645314484</v>
      </c>
      <c r="AF61" s="28" t="n">
        <f aca="false">ABS(C61-AE61)/C61</f>
        <v>0.116720945828044</v>
      </c>
    </row>
    <row r="62" customFormat="false" ht="15" hidden="false" customHeight="false" outlineLevel="0" collapsed="false">
      <c r="A62" s="8" t="n">
        <v>51</v>
      </c>
      <c r="B62" s="29" t="n">
        <f aca="false">EDATE(B61,1)</f>
        <v>45870</v>
      </c>
      <c r="C62" s="23" t="n">
        <f aca="false">Data!D55</f>
        <v>317</v>
      </c>
      <c r="Z62" s="33" t="n">
        <f aca="false">Z50</f>
        <v>0.919791257794503</v>
      </c>
      <c r="AD62" s="27" t="n">
        <f aca="false">$B$4+$B$3*A62</f>
        <v>318.977661017362</v>
      </c>
      <c r="AE62" s="30" t="n">
        <f aca="false">AD62*Z62</f>
        <v>293.392864035508</v>
      </c>
      <c r="AF62" s="28" t="n">
        <f aca="false">ABS(C62-AE62)/C62</f>
        <v>0.07447046045581</v>
      </c>
    </row>
    <row r="63" customFormat="false" ht="15" hidden="false" customHeight="false" outlineLevel="0" collapsed="false">
      <c r="A63" s="8" t="n">
        <v>52</v>
      </c>
      <c r="B63" s="29" t="n">
        <f aca="false">EDATE(B62,1)</f>
        <v>45901</v>
      </c>
      <c r="C63" s="23" t="n">
        <f aca="false">Data!D56</f>
        <v>306</v>
      </c>
      <c r="Z63" s="33" t="n">
        <f aca="false">Z51</f>
        <v>0.951088234786613</v>
      </c>
      <c r="AD63" s="27" t="n">
        <f aca="false">$B$4+$B$3*A63</f>
        <v>320.218708197646</v>
      </c>
      <c r="AE63" s="30" t="n">
        <f aca="false">AD63*Z63</f>
        <v>304.556245925349</v>
      </c>
      <c r="AF63" s="28" t="n">
        <f aca="false">ABS(C63-AE63)/C63</f>
        <v>0.00471815057075619</v>
      </c>
    </row>
    <row r="64" customFormat="false" ht="15" hidden="false" customHeight="false" outlineLevel="0" collapsed="false">
      <c r="A64" s="8" t="n">
        <v>53</v>
      </c>
      <c r="B64" s="29" t="n">
        <f aca="false">EDATE(B63,1)</f>
        <v>45931</v>
      </c>
      <c r="C64" s="23" t="n">
        <f aca="false">Data!D57</f>
        <v>285</v>
      </c>
      <c r="Z64" s="33" t="n">
        <f aca="false">Z52</f>
        <v>0.893571845897965</v>
      </c>
      <c r="AD64" s="27" t="n">
        <f aca="false">$B$4+$B$3*A64</f>
        <v>321.45975537793</v>
      </c>
      <c r="AE64" s="30" t="n">
        <f aca="false">AD64*Z64</f>
        <v>287.247386994965</v>
      </c>
      <c r="AF64" s="28" t="n">
        <f aca="false">ABS(C64-AE64)/C64</f>
        <v>0.00788556840338631</v>
      </c>
    </row>
    <row r="65" customFormat="false" ht="15" hidden="false" customHeight="false" outlineLevel="0" collapsed="false">
      <c r="A65" s="8" t="n">
        <v>54</v>
      </c>
      <c r="B65" s="29" t="n">
        <f aca="false">EDATE(B64,1)</f>
        <v>45962</v>
      </c>
      <c r="C65" s="23" t="n">
        <f aca="false">Data!D58</f>
        <v>311</v>
      </c>
      <c r="Z65" s="33" t="n">
        <f aca="false">Z53</f>
        <v>0.913680691422626</v>
      </c>
      <c r="AD65" s="27" t="n">
        <f aca="false">$B$4+$B$3*A65</f>
        <v>322.700802558214</v>
      </c>
      <c r="AE65" s="30" t="n">
        <f aca="false">AD65*Z65</f>
        <v>294.845492404025</v>
      </c>
      <c r="AF65" s="28" t="n">
        <f aca="false">ABS(C65-AE65)/C65</f>
        <v>0.051943754327893</v>
      </c>
    </row>
    <row r="66" customFormat="false" ht="15" hidden="false" customHeight="false" outlineLevel="0" collapsed="false">
      <c r="A66" s="8" t="n">
        <v>55</v>
      </c>
      <c r="B66" s="29" t="n">
        <f aca="false">EDATE(B65,1)</f>
        <v>45992</v>
      </c>
      <c r="C66" s="23" t="n">
        <f aca="false">Data!D59</f>
        <v>364</v>
      </c>
      <c r="Z66" s="33" t="n">
        <f aca="false">Z54</f>
        <v>1.10854359822579</v>
      </c>
      <c r="AD66" s="27" t="n">
        <f aca="false">$B$4+$B$3*A66</f>
        <v>323.941849738498</v>
      </c>
      <c r="AE66" s="30" t="n">
        <f aca="false">AD66*Z66</f>
        <v>359.103663725032</v>
      </c>
      <c r="AF66" s="28" t="n">
        <f aca="false">ABS(C66-AE66)/C66</f>
        <v>0.0134514732828793</v>
      </c>
    </row>
    <row r="67" customFormat="false" ht="15" hidden="false" customHeight="false" outlineLevel="0" collapsed="false">
      <c r="A67" s="8" t="n">
        <v>56</v>
      </c>
      <c r="B67" s="29" t="n">
        <f aca="false">EDATE(B66,1)</f>
        <v>46023</v>
      </c>
      <c r="C67" s="23" t="n">
        <f aca="false">Data!D60</f>
        <v>343</v>
      </c>
      <c r="Z67" s="33" t="n">
        <f aca="false">Z55</f>
        <v>1.07039711718203</v>
      </c>
      <c r="AD67" s="27" t="n">
        <f aca="false">$B$4+$B$3*A67</f>
        <v>325.182896918782</v>
      </c>
      <c r="AE67" s="30" t="n">
        <f aca="false">AD67*Z67</f>
        <v>348.074835418766</v>
      </c>
      <c r="AF67" s="28" t="n">
        <f aca="false">ABS(C67-AE67)/C67</f>
        <v>0.0147954385386755</v>
      </c>
    </row>
    <row r="68" customFormat="false" ht="15" hidden="false" customHeight="false" outlineLevel="0" collapsed="false">
      <c r="A68" s="8" t="n">
        <v>57</v>
      </c>
      <c r="B68" s="29" t="n">
        <f aca="false">EDATE(B67,1)</f>
        <v>46054</v>
      </c>
      <c r="C68" s="23" t="n">
        <f aca="false">Data!D61</f>
        <v>336</v>
      </c>
      <c r="Z68" s="33" t="n">
        <f aca="false">Z56</f>
        <v>0.929165835179609</v>
      </c>
      <c r="AD68" s="27" t="n">
        <f aca="false">$B$4+$B$3*A68</f>
        <v>326.423944099066</v>
      </c>
      <c r="AE68" s="30" t="n">
        <f aca="false">AD68*Z68</f>
        <v>303.30197664143</v>
      </c>
      <c r="AF68" s="28" t="n">
        <f aca="false">ABS(C68-AE68)/C68</f>
        <v>0.0973155457100285</v>
      </c>
    </row>
    <row r="69" customFormat="false" ht="15" hidden="false" customHeight="false" outlineLevel="0" collapsed="false">
      <c r="A69" s="8" t="n">
        <v>58</v>
      </c>
      <c r="B69" s="29" t="n">
        <f aca="false">EDATE(B68,1)</f>
        <v>46082</v>
      </c>
      <c r="C69" s="23" t="n">
        <f aca="false">Data!D62</f>
        <v>405</v>
      </c>
      <c r="Z69" s="33" t="n">
        <f aca="false">Z57</f>
        <v>1.10483945157966</v>
      </c>
      <c r="AD69" s="27" t="n">
        <f aca="false">$B$4+$B$3*A69</f>
        <v>327.66499127935</v>
      </c>
      <c r="AE69" s="30" t="n">
        <f aca="false">AD69*Z69</f>
        <v>362.017209266929</v>
      </c>
      <c r="AF69" s="28" t="n">
        <f aca="false">ABS(C69-AE69)/C69</f>
        <v>0.106130347489064</v>
      </c>
    </row>
    <row r="70" customFormat="false" ht="15" hidden="false" customHeight="false" outlineLevel="0" collapsed="false">
      <c r="A70" s="8" t="n">
        <v>59</v>
      </c>
      <c r="B70" s="29" t="n">
        <f aca="false">EDATE(B69,1)</f>
        <v>46113</v>
      </c>
      <c r="C70" s="23" t="n">
        <f aca="false">Data!D63</f>
        <v>322</v>
      </c>
      <c r="Z70" s="33" t="n">
        <f aca="false">Z58</f>
        <v>1.17008808865852</v>
      </c>
      <c r="AD70" s="27" t="n">
        <f aca="false">$B$4+$B$3*A70</f>
        <v>328.906038459634</v>
      </c>
      <c r="AE70" s="30" t="n">
        <f aca="false">AD70*Z70</f>
        <v>384.849037889477</v>
      </c>
      <c r="AF70" s="28" t="n">
        <f aca="false">ABS(C70-AE70)/C70</f>
        <v>0.195183347482849</v>
      </c>
    </row>
    <row r="71" customFormat="false" ht="15" hidden="false" customHeight="false" outlineLevel="0" collapsed="false">
      <c r="A71" s="8" t="n">
        <v>60</v>
      </c>
      <c r="B71" s="29" t="n">
        <f aca="false">EDATE(B70,1)</f>
        <v>46143</v>
      </c>
      <c r="C71" s="23" t="n">
        <f aca="false">Data!D64</f>
        <v>295</v>
      </c>
      <c r="Z71" s="33" t="n">
        <f aca="false">Z59</f>
        <v>0.965325059288583</v>
      </c>
      <c r="AD71" s="27" t="n">
        <f aca="false">$B$4+$B$3*A71</f>
        <v>330.147085639917</v>
      </c>
      <c r="AE71" s="30" t="n">
        <f aca="false">AD71*Z71</f>
        <v>318.699255019306</v>
      </c>
      <c r="AF71" s="28" t="n">
        <f aca="false">ABS(C71-AE71)/C71</f>
        <v>0.0803364576925637</v>
      </c>
    </row>
  </sheetData>
  <mergeCells count="4">
    <mergeCell ref="A10:C10"/>
    <mergeCell ref="D10:O10"/>
    <mergeCell ref="P10:AC10"/>
    <mergeCell ref="AD10:A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2" min="3" style="0" width="11"/>
  </cols>
  <sheetData>
    <row r="1" customFormat="false" ht="16.15" hidden="false" customHeight="false" outlineLevel="0" collapsed="false">
      <c r="A1" s="5" t="s">
        <v>121</v>
      </c>
    </row>
    <row r="3" customFormat="false" ht="15" hidden="false" customHeight="false" outlineLevel="0" collapsed="false">
      <c r="A3" s="12" t="s">
        <v>81</v>
      </c>
      <c r="B3" s="17" t="n">
        <f aca="false">SLOPE(AB18:AB65,A18:A65)</f>
        <v>1.54906961887501</v>
      </c>
      <c r="C3" s="6" t="s">
        <v>82</v>
      </c>
    </row>
    <row r="4" customFormat="false" ht="15" hidden="false" customHeight="false" outlineLevel="0" collapsed="false">
      <c r="A4" s="12" t="s">
        <v>83</v>
      </c>
      <c r="B4" s="17" t="n">
        <f aca="false">INTERCEPT(AB18:AB65,A18:A65)</f>
        <v>249.48674816841</v>
      </c>
      <c r="C4" s="6" t="s">
        <v>84</v>
      </c>
    </row>
    <row r="5" customFormat="false" ht="15" hidden="false" customHeight="false" outlineLevel="0" collapsed="false">
      <c r="A5" s="12" t="s">
        <v>73</v>
      </c>
      <c r="B5" s="6" t="s">
        <v>74</v>
      </c>
      <c r="C5" s="6" t="s">
        <v>85</v>
      </c>
    </row>
    <row r="6" customFormat="false" ht="15" hidden="false" customHeight="false" outlineLevel="0" collapsed="false">
      <c r="A6" s="12" t="s">
        <v>86</v>
      </c>
      <c r="B6" s="15" t="n">
        <v>7</v>
      </c>
      <c r="C6" s="6" t="s">
        <v>87</v>
      </c>
    </row>
    <row r="7" customFormat="false" ht="15" hidden="false" customHeight="false" outlineLevel="0" collapsed="false">
      <c r="A7" s="12" t="s">
        <v>88</v>
      </c>
      <c r="B7" s="31" t="n">
        <f aca="false">B8-6</f>
        <v>54</v>
      </c>
    </row>
    <row r="8" customFormat="false" ht="15" hidden="false" customHeight="false" outlineLevel="0" collapsed="false">
      <c r="A8" s="12" t="s">
        <v>89</v>
      </c>
      <c r="B8" s="15" t="n">
        <v>60</v>
      </c>
    </row>
    <row r="9" customFormat="false" ht="15" hidden="false" customHeight="false" outlineLevel="0" collapsed="false">
      <c r="A9" s="12" t="s">
        <v>75</v>
      </c>
      <c r="B9" s="20" t="n">
        <f aca="false">AVERAGE(AF24:AF71)</f>
        <v>0.0402260360163279</v>
      </c>
    </row>
    <row r="10" customFormat="false" ht="15" hidden="false" customHeight="true" outlineLevel="0" collapsed="false">
      <c r="A10" s="32" t="s">
        <v>90</v>
      </c>
      <c r="B10" s="32"/>
      <c r="C10" s="32"/>
      <c r="D10" s="32" t="s">
        <v>91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 t="s">
        <v>92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 t="s">
        <v>64</v>
      </c>
      <c r="AE10" s="32"/>
      <c r="AF10" s="32"/>
    </row>
    <row r="11" customFormat="false" ht="42" hidden="false" customHeight="true" outlineLevel="0" collapsed="false">
      <c r="A11" s="7" t="s">
        <v>21</v>
      </c>
      <c r="B11" s="7" t="s">
        <v>22</v>
      </c>
      <c r="C11" s="7" t="s">
        <v>93</v>
      </c>
      <c r="D11" s="7" t="s">
        <v>94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7" t="s">
        <v>100</v>
      </c>
      <c r="K11" s="7" t="s">
        <v>101</v>
      </c>
      <c r="L11" s="7" t="s">
        <v>102</v>
      </c>
      <c r="M11" s="7" t="s">
        <v>103</v>
      </c>
      <c r="N11" s="7" t="s">
        <v>104</v>
      </c>
      <c r="O11" s="7" t="s">
        <v>105</v>
      </c>
      <c r="P11" s="7" t="s">
        <v>106</v>
      </c>
      <c r="Q11" s="7" t="s">
        <v>107</v>
      </c>
      <c r="R11" s="7" t="s">
        <v>108</v>
      </c>
      <c r="S11" s="7" t="s">
        <v>109</v>
      </c>
      <c r="T11" s="7" t="s">
        <v>110</v>
      </c>
      <c r="U11" s="7" t="s">
        <v>111</v>
      </c>
      <c r="V11" s="7" t="s">
        <v>112</v>
      </c>
      <c r="W11" s="7" t="s">
        <v>113</v>
      </c>
      <c r="X11" s="7" t="s">
        <v>114</v>
      </c>
      <c r="Y11" s="7" t="s">
        <v>115</v>
      </c>
      <c r="Z11" s="7" t="s">
        <v>116</v>
      </c>
      <c r="AA11" s="7" t="s">
        <v>117</v>
      </c>
      <c r="AB11" s="7" t="s">
        <v>118</v>
      </c>
      <c r="AC11" s="7" t="s">
        <v>119</v>
      </c>
      <c r="AD11" s="7" t="s">
        <v>120</v>
      </c>
      <c r="AE11" s="7" t="s">
        <v>64</v>
      </c>
      <c r="AF11" s="7" t="s">
        <v>65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Data!D5</f>
        <v>230</v>
      </c>
      <c r="D12" s="27" t="str">
        <f aca="false">IF(AND($A12&gt;=$B$6,$A12&lt;=$B$7),SUMPRODUCT(Bobot_Filter!$B$4:$B$16,C6:C18),"")</f>
        <v/>
      </c>
      <c r="E12" s="25" t="str">
        <f aca="false">IF(ISNUMBER(D12),C12/D12,"")</f>
        <v/>
      </c>
      <c r="F12" s="25" t="str">
        <f aca="false">IF(AND($A12+(-24)&gt;=1,$A12+(-24)&lt;=$B$8),INDEX($E$12:$E$71,$A12+(-24)),"")</f>
        <v/>
      </c>
      <c r="G12" s="25" t="str">
        <f aca="false">IF(AND($A12+(-12)&gt;=1,$A12+(-12)&lt;=$B$8),INDEX($E$12:$E$71,$A12+(-12)),"")</f>
        <v/>
      </c>
      <c r="H12" s="25" t="str">
        <f aca="false">IF(AND($A12+(0)&gt;=1,$A12+(0)&lt;=$B$8),INDEX($E$12:$E$71,$A12+(0)),"")</f>
        <v/>
      </c>
      <c r="I12" s="25" t="n">
        <f aca="false">IF(AND($A12+(12)&gt;=1,$A12+(12)&lt;=$B$8),INDEX($E$12:$E$71,$A12+(12)),"")</f>
        <v>0.921382685836647</v>
      </c>
      <c r="J12" s="25" t="n">
        <f aca="false">IF(AND($A12+(24)&gt;=1,$A12+(24)&lt;=$B$8),INDEX($E$12:$E$71,$A12+(24)),"")</f>
        <v>0.954525515426232</v>
      </c>
      <c r="K12" s="25" t="n">
        <f aca="false">IF(SUMPRODUCT(Bobot_Filter!$B$38:$F$38,ISNUMBER(F12:J12)*1)&gt;0,SUMPRODUCT(Bobot_Filter!$B$38:$F$38,F12:J12)/SUMPRODUCT(Bobot_Filter!$B$38:$F$38,ISNUMBER(F12:J12)*1),"")</f>
        <v>0.932430295699842</v>
      </c>
      <c r="L12" s="25" t="str">
        <f aca="false">IF(AND($A12&gt;=$B$6,$A12&lt;=$B$7),SUMPRODUCT(Bobot_Filter!$B$4:$B$16,K6:K18),"")</f>
        <v/>
      </c>
      <c r="M12" s="25" t="n">
        <f aca="false">K12/INDEX($L$12:$L$71,MAX($B$6,MIN($A12,$B$7)))</f>
        <v>0.933448436440704</v>
      </c>
      <c r="N12" s="27" t="n">
        <f aca="false">C12/M12</f>
        <v>246.39818443213</v>
      </c>
      <c r="O12" s="27" t="str">
        <f aca="false">IF(AND($A12&gt;=$B$6,$A12&lt;=$B$7),SUMPRODUCT(Bobot_Filter!$B$20:$B$32,N6:N18),"")</f>
        <v/>
      </c>
      <c r="P12" s="25" t="str">
        <f aca="false">IF(ISNUMBER(O12),C12/O12,"")</f>
        <v/>
      </c>
      <c r="Q12" s="25" t="str">
        <f aca="false">IF(AND($A12+(-36)&gt;=1,$A12+(-36)&lt;=$B$8),INDEX($P$12:$P$71,$A12+(-36)),"")</f>
        <v/>
      </c>
      <c r="R12" s="25" t="str">
        <f aca="false">IF(AND($A12+(-24)&gt;=1,$A12+(-24)&lt;=$B$8),INDEX($P$12:$P$71,$A12+(-24)),"")</f>
        <v/>
      </c>
      <c r="S12" s="25" t="str">
        <f aca="false">IF(AND($A12+(-12)&gt;=1,$A12+(-12)&lt;=$B$8),INDEX($P$12:$P$71,$A12+(-12)),"")</f>
        <v/>
      </c>
      <c r="T12" s="25" t="str">
        <f aca="false">IF(AND($A12+(0)&gt;=1,$A12+(0)&lt;=$B$8),INDEX($P$12:$P$71,$A12+(0)),"")</f>
        <v/>
      </c>
      <c r="U12" s="25" t="n">
        <f aca="false">IF(AND($A12+(12)&gt;=1,$A12+(12)&lt;=$B$8),INDEX($P$12:$P$71,$A12+(12)),"")</f>
        <v>0.918926826920521</v>
      </c>
      <c r="V12" s="25" t="n">
        <f aca="false">IF(AND($A12+(24)&gt;=1,$A12+(24)&lt;=$B$8),INDEX($P$12:$P$71,$A12+(24)),"")</f>
        <v>0.942097421783349</v>
      </c>
      <c r="W12" s="25" t="n">
        <f aca="false">IF(AND($A12+(36)&gt;=1,$A12+(36)&lt;=$B$8),INDEX($P$12:$P$71,$A12+(36)),"")</f>
        <v>0.917647850236325</v>
      </c>
      <c r="X12" s="25" t="n">
        <f aca="false">IF(SUMPRODUCT(Bobot_Filter!$B$43:$H$43,ISNUMBER(Q12:W12)*1)&gt;0,SUMPRODUCT(Bobot_Filter!$B$43:$H$43,Q12:W12)/SUMPRODUCT(Bobot_Filter!$B$43:$H$43,ISNUMBER(Q12:W12)*1),"")</f>
        <v>0.926437195760764</v>
      </c>
      <c r="Y12" s="25" t="str">
        <f aca="false">IF(AND($A12&gt;=$B$6,$A12&lt;=$B$7),SUMPRODUCT(Bobot_Filter!$B$4:$B$16,X6:X18),"")</f>
        <v/>
      </c>
      <c r="Z12" s="33" t="n">
        <f aca="false">X12/INDEX($Y$12:$Y$71,MAX($B$6,MIN($A12,$B$7)))</f>
        <v>0.927435787482482</v>
      </c>
      <c r="AA12" s="27" t="n">
        <f aca="false">C12/Z12</f>
        <v>247.995605846021</v>
      </c>
      <c r="AB12" s="27" t="str">
        <f aca="false">IF(AND($A12&gt;=$B$6,$A12&lt;=$B$7),SUMPRODUCT(Bobot_Filter!$B$20:$B$32,AA6:AA18),"")</f>
        <v/>
      </c>
      <c r="AC12" s="25" t="str">
        <f aca="false">IF(ISNUMBER(AB12),AA12/AB12,"")</f>
        <v/>
      </c>
      <c r="AD12" s="27" t="n">
        <f aca="false">$B$4+$B$3*A12</f>
        <v>251.035817787285</v>
      </c>
      <c r="AE12" s="27" t="n">
        <f aca="false">AD12*Z12</f>
        <v>232.81960135586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Data!D6</f>
        <v>268</v>
      </c>
      <c r="D13" s="27" t="str">
        <f aca="false">IF(AND($A13&gt;=$B$6,$A13&lt;=$B$7),SUMPRODUCT(Bobot_Filter!$B$4:$B$16,C7:C19),"")</f>
        <v/>
      </c>
      <c r="E13" s="25" t="str">
        <f aca="false">IF(ISNUMBER(D13),C13/D13,"")</f>
        <v/>
      </c>
      <c r="F13" s="25" t="str">
        <f aca="false">IF(AND($A13+(-24)&gt;=1,$A13+(-24)&lt;=$B$8),INDEX($E$12:$E$71,$A13+(-24)),"")</f>
        <v/>
      </c>
      <c r="G13" s="25" t="str">
        <f aca="false">IF(AND($A13+(-12)&gt;=1,$A13+(-12)&lt;=$B$8),INDEX($E$12:$E$71,$A13+(-12)),"")</f>
        <v/>
      </c>
      <c r="H13" s="25" t="str">
        <f aca="false">IF(AND($A13+(0)&gt;=1,$A13+(0)&lt;=$B$8),INDEX($E$12:$E$71,$A13+(0)),"")</f>
        <v/>
      </c>
      <c r="I13" s="25" t="n">
        <f aca="false">IF(AND($A13+(12)&gt;=1,$A13+(12)&lt;=$B$8),INDEX($E$12:$E$71,$A13+(12)),"")</f>
        <v>1.01558203483043</v>
      </c>
      <c r="J13" s="25" t="n">
        <f aca="false">IF(AND($A13+(24)&gt;=1,$A13+(24)&lt;=$B$8),INDEX($E$12:$E$71,$A13+(24)),"")</f>
        <v>1.11053089643168</v>
      </c>
      <c r="K13" s="25" t="n">
        <f aca="false">IF(SUMPRODUCT(Bobot_Filter!$B$38:$F$38,ISNUMBER(F13:J13)*1)&gt;0,SUMPRODUCT(Bobot_Filter!$B$38:$F$38,F13:J13)/SUMPRODUCT(Bobot_Filter!$B$38:$F$38,ISNUMBER(F13:J13)*1),"")</f>
        <v>1.04723165536418</v>
      </c>
      <c r="L13" s="25" t="str">
        <f aca="false">IF(AND($A13&gt;=$B$6,$A13&lt;=$B$7),SUMPRODUCT(Bobot_Filter!$B$4:$B$16,K7:K19),"")</f>
        <v/>
      </c>
      <c r="M13" s="25" t="n">
        <f aca="false">K13/INDEX($L$12:$L$71,MAX($B$6,MIN($A13,$B$7)))</f>
        <v>1.04837515018451</v>
      </c>
      <c r="N13" s="27" t="n">
        <f aca="false">C13/M13</f>
        <v>255.63368222991</v>
      </c>
      <c r="O13" s="27" t="str">
        <f aca="false">IF(AND($A13&gt;=$B$6,$A13&lt;=$B$7),SUMPRODUCT(Bobot_Filter!$B$20:$B$32,N7:N19),"")</f>
        <v/>
      </c>
      <c r="P13" s="25" t="str">
        <f aca="false">IF(ISNUMBER(O13),C13/O13,"")</f>
        <v/>
      </c>
      <c r="Q13" s="25" t="str">
        <f aca="false">IF(AND($A13+(-36)&gt;=1,$A13+(-36)&lt;=$B$8),INDEX($P$12:$P$71,$A13+(-36)),"")</f>
        <v/>
      </c>
      <c r="R13" s="25" t="str">
        <f aca="false">IF(AND($A13+(-24)&gt;=1,$A13+(-24)&lt;=$B$8),INDEX($P$12:$P$71,$A13+(-24)),"")</f>
        <v/>
      </c>
      <c r="S13" s="25" t="str">
        <f aca="false">IF(AND($A13+(-12)&gt;=1,$A13+(-12)&lt;=$B$8),INDEX($P$12:$P$71,$A13+(-12)),"")</f>
        <v/>
      </c>
      <c r="T13" s="25" t="str">
        <f aca="false">IF(AND($A13+(0)&gt;=1,$A13+(0)&lt;=$B$8),INDEX($P$12:$P$71,$A13+(0)),"")</f>
        <v/>
      </c>
      <c r="U13" s="25" t="n">
        <f aca="false">IF(AND($A13+(12)&gt;=1,$A13+(12)&lt;=$B$8),INDEX($P$12:$P$71,$A13+(12)),"")</f>
        <v>1.01100801136646</v>
      </c>
      <c r="V13" s="25" t="n">
        <f aca="false">IF(AND($A13+(24)&gt;=1,$A13+(24)&lt;=$B$8),INDEX($P$12:$P$71,$A13+(24)),"")</f>
        <v>1.09753851884661</v>
      </c>
      <c r="W13" s="25" t="n">
        <f aca="false">IF(AND($A13+(36)&gt;=1,$A13+(36)&lt;=$B$8),INDEX($P$12:$P$71,$A13+(36)),"")</f>
        <v>1.00891806386972</v>
      </c>
      <c r="X13" s="25" t="n">
        <f aca="false">IF(SUMPRODUCT(Bobot_Filter!$B$43:$H$43,ISNUMBER(Q13:W13)*1)&gt;0,SUMPRODUCT(Bobot_Filter!$B$43:$H$43,Q13:W13)/SUMPRODUCT(Bobot_Filter!$B$43:$H$43,ISNUMBER(Q13:W13)*1),"")</f>
        <v>1.03950318927705</v>
      </c>
      <c r="Y13" s="25" t="str">
        <f aca="false">IF(AND($A13&gt;=$B$6,$A13&lt;=$B$7),SUMPRODUCT(Bobot_Filter!$B$4:$B$16,X7:X19),"")</f>
        <v/>
      </c>
      <c r="Z13" s="33" t="n">
        <f aca="false">X13/INDEX($Y$12:$Y$71,MAX($B$6,MIN($A13,$B$7)))</f>
        <v>1.04062365301087</v>
      </c>
      <c r="AA13" s="27" t="n">
        <f aca="false">C13/Z13</f>
        <v>257.537870895579</v>
      </c>
      <c r="AB13" s="27" t="str">
        <f aca="false">IF(AND($A13&gt;=$B$6,$A13&lt;=$B$7),SUMPRODUCT(Bobot_Filter!$B$20:$B$32,AA7:AA19),"")</f>
        <v/>
      </c>
      <c r="AC13" s="25" t="str">
        <f aca="false">IF(ISNUMBER(AB13),AA13/AB13,"")</f>
        <v/>
      </c>
      <c r="AD13" s="27" t="n">
        <f aca="false">$B$4+$B$3*A13</f>
        <v>252.58488740616</v>
      </c>
      <c r="AE13" s="27" t="n">
        <f aca="false">AD13*Z13</f>
        <v>262.845808227939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Data!D7</f>
        <v>220</v>
      </c>
      <c r="D14" s="27" t="str">
        <f aca="false">IF(AND($A14&gt;=$B$6,$A14&lt;=$B$7),SUMPRODUCT(Bobot_Filter!$B$4:$B$16,C8:C20),"")</f>
        <v/>
      </c>
      <c r="E14" s="25" t="str">
        <f aca="false">IF(ISNUMBER(D14),C14/D14,"")</f>
        <v/>
      </c>
      <c r="F14" s="25" t="str">
        <f aca="false">IF(AND($A14+(-24)&gt;=1,$A14+(-24)&lt;=$B$8),INDEX($E$12:$E$71,$A14+(-24)),"")</f>
        <v/>
      </c>
      <c r="G14" s="25" t="str">
        <f aca="false">IF(AND($A14+(-12)&gt;=1,$A14+(-12)&lt;=$B$8),INDEX($E$12:$E$71,$A14+(-12)),"")</f>
        <v/>
      </c>
      <c r="H14" s="25" t="str">
        <f aca="false">IF(AND($A14+(0)&gt;=1,$A14+(0)&lt;=$B$8),INDEX($E$12:$E$71,$A14+(0)),"")</f>
        <v/>
      </c>
      <c r="I14" s="25" t="n">
        <f aca="false">IF(AND($A14+(12)&gt;=1,$A14+(12)&lt;=$B$8),INDEX($E$12:$E$71,$A14+(12)),"")</f>
        <v>0.93858845096242</v>
      </c>
      <c r="J14" s="25" t="n">
        <f aca="false">IF(AND($A14+(24)&gt;=1,$A14+(24)&lt;=$B$8),INDEX($E$12:$E$71,$A14+(24)),"")</f>
        <v>0.883667621776504</v>
      </c>
      <c r="K14" s="25" t="n">
        <f aca="false">IF(SUMPRODUCT(Bobot_Filter!$B$38:$F$38,ISNUMBER(F14:J14)*1)&gt;0,SUMPRODUCT(Bobot_Filter!$B$38:$F$38,F14:J14)/SUMPRODUCT(Bobot_Filter!$B$38:$F$38,ISNUMBER(F14:J14)*1),"")</f>
        <v>0.920281507900448</v>
      </c>
      <c r="L14" s="25" t="str">
        <f aca="false">IF(AND($A14&gt;=$B$6,$A14&lt;=$B$7),SUMPRODUCT(Bobot_Filter!$B$4:$B$16,K8:K20),"")</f>
        <v/>
      </c>
      <c r="M14" s="25" t="n">
        <f aca="false">K14/INDEX($L$12:$L$71,MAX($B$6,MIN($A14,$B$7)))</f>
        <v>0.921286383118013</v>
      </c>
      <c r="N14" s="27" t="n">
        <f aca="false">C14/M14</f>
        <v>238.79653930782</v>
      </c>
      <c r="O14" s="27" t="str">
        <f aca="false">IF(AND($A14&gt;=$B$6,$A14&lt;=$B$7),SUMPRODUCT(Bobot_Filter!$B$20:$B$32,N8:N20),"")</f>
        <v/>
      </c>
      <c r="P14" s="25" t="str">
        <f aca="false">IF(ISNUMBER(O14),C14/O14,"")</f>
        <v/>
      </c>
      <c r="Q14" s="25" t="str">
        <f aca="false">IF(AND($A14+(-36)&gt;=1,$A14+(-36)&lt;=$B$8),INDEX($P$12:$P$71,$A14+(-36)),"")</f>
        <v/>
      </c>
      <c r="R14" s="25" t="str">
        <f aca="false">IF(AND($A14+(-24)&gt;=1,$A14+(-24)&lt;=$B$8),INDEX($P$12:$P$71,$A14+(-24)),"")</f>
        <v/>
      </c>
      <c r="S14" s="25" t="str">
        <f aca="false">IF(AND($A14+(-12)&gt;=1,$A14+(-12)&lt;=$B$8),INDEX($P$12:$P$71,$A14+(-12)),"")</f>
        <v/>
      </c>
      <c r="T14" s="25" t="str">
        <f aca="false">IF(AND($A14+(0)&gt;=1,$A14+(0)&lt;=$B$8),INDEX($P$12:$P$71,$A14+(0)),"")</f>
        <v/>
      </c>
      <c r="U14" s="25" t="n">
        <f aca="false">IF(AND($A14+(12)&gt;=1,$A14+(12)&lt;=$B$8),INDEX($P$12:$P$71,$A14+(12)),"")</f>
        <v>0.931848654126192</v>
      </c>
      <c r="V14" s="25" t="n">
        <f aca="false">IF(AND($A14+(24)&gt;=1,$A14+(24)&lt;=$B$8),INDEX($P$12:$P$71,$A14+(24)),"")</f>
        <v>0.882136881125933</v>
      </c>
      <c r="W14" s="25" t="n">
        <f aca="false">IF(AND($A14+(36)&gt;=1,$A14+(36)&lt;=$B$8),INDEX($P$12:$P$71,$A14+(36)),"")</f>
        <v>0.950960595017964</v>
      </c>
      <c r="X14" s="25" t="n">
        <f aca="false">IF(SUMPRODUCT(Bobot_Filter!$B$43:$H$43,ISNUMBER(Q14:W14)*1)&gt;0,SUMPRODUCT(Bobot_Filter!$B$43:$H$43,Q14:W14)/SUMPRODUCT(Bobot_Filter!$B$43:$H$43,ISNUMBER(Q14:W14)*1),"")</f>
        <v>0.918463386608068</v>
      </c>
      <c r="Y14" s="25" t="str">
        <f aca="false">IF(AND($A14&gt;=$B$6,$A14&lt;=$B$7),SUMPRODUCT(Bobot_Filter!$B$4:$B$16,X8:X20),"")</f>
        <v/>
      </c>
      <c r="Z14" s="33" t="n">
        <f aca="false">X14/INDEX($Y$12:$Y$71,MAX($B$6,MIN($A14,$B$7)))</f>
        <v>0.919453383489416</v>
      </c>
      <c r="AA14" s="27" t="n">
        <f aca="false">C14/Z14</f>
        <v>239.272598209469</v>
      </c>
      <c r="AB14" s="27" t="str">
        <f aca="false">IF(AND($A14&gt;=$B$6,$A14&lt;=$B$7),SUMPRODUCT(Bobot_Filter!$B$20:$B$32,AA8:AA20),"")</f>
        <v/>
      </c>
      <c r="AC14" s="25" t="str">
        <f aca="false">IF(ISNUMBER(AB14),AA14/AB14,"")</f>
        <v/>
      </c>
      <c r="AD14" s="27" t="n">
        <f aca="false">$B$4+$B$3*A14</f>
        <v>254.133957025035</v>
      </c>
      <c r="AE14" s="27" t="n">
        <f aca="false">AD14*Z14</f>
        <v>233.664326646223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Data!D8</f>
        <v>260</v>
      </c>
      <c r="D15" s="27" t="str">
        <f aca="false">IF(AND($A15&gt;=$B$6,$A15&lt;=$B$7),SUMPRODUCT(Bobot_Filter!$B$4:$B$16,C9:C21),"")</f>
        <v/>
      </c>
      <c r="E15" s="25" t="str">
        <f aca="false">IF(ISNUMBER(D15),C15/D15,"")</f>
        <v/>
      </c>
      <c r="F15" s="25" t="str">
        <f aca="false">IF(AND($A15+(-24)&gt;=1,$A15+(-24)&lt;=$B$8),INDEX($E$12:$E$71,$A15+(-24)),"")</f>
        <v/>
      </c>
      <c r="G15" s="25" t="str">
        <f aca="false">IF(AND($A15+(-12)&gt;=1,$A15+(-12)&lt;=$B$8),INDEX($E$12:$E$71,$A15+(-12)),"")</f>
        <v/>
      </c>
      <c r="H15" s="25" t="str">
        <f aca="false">IF(AND($A15+(0)&gt;=1,$A15+(0)&lt;=$B$8),INDEX($E$12:$E$71,$A15+(0)),"")</f>
        <v/>
      </c>
      <c r="I15" s="25" t="n">
        <f aca="false">IF(AND($A15+(12)&gt;=1,$A15+(12)&lt;=$B$8),INDEX($E$12:$E$71,$A15+(12)),"")</f>
        <v>0.897230210382927</v>
      </c>
      <c r="J15" s="25" t="n">
        <f aca="false">IF(AND($A15+(24)&gt;=1,$A15+(24)&lt;=$B$8),INDEX($E$12:$E$71,$A15+(24)),"")</f>
        <v>0.970725498515062</v>
      </c>
      <c r="K15" s="25" t="n">
        <f aca="false">IF(SUMPRODUCT(Bobot_Filter!$B$38:$F$38,ISNUMBER(F15:J15)*1)&gt;0,SUMPRODUCT(Bobot_Filter!$B$38:$F$38,F15:J15)/SUMPRODUCT(Bobot_Filter!$B$38:$F$38,ISNUMBER(F15:J15)*1),"")</f>
        <v>0.921728639760305</v>
      </c>
      <c r="L15" s="25" t="str">
        <f aca="false">IF(AND($A15&gt;=$B$6,$A15&lt;=$B$7),SUMPRODUCT(Bobot_Filter!$B$4:$B$16,K9:K21),"")</f>
        <v/>
      </c>
      <c r="M15" s="25" t="n">
        <f aca="false">K15/INDEX($L$12:$L$71,MAX($B$6,MIN($A15,$B$7)))</f>
        <v>0.922735095132344</v>
      </c>
      <c r="N15" s="27" t="n">
        <f aca="false">C15/M15</f>
        <v>281.771010305736</v>
      </c>
      <c r="O15" s="27" t="str">
        <f aca="false">IF(AND($A15&gt;=$B$6,$A15&lt;=$B$7),SUMPRODUCT(Bobot_Filter!$B$20:$B$32,N9:N21),"")</f>
        <v/>
      </c>
      <c r="P15" s="25" t="str">
        <f aca="false">IF(ISNUMBER(O15),C15/O15,"")</f>
        <v/>
      </c>
      <c r="Q15" s="25" t="str">
        <f aca="false">IF(AND($A15+(-36)&gt;=1,$A15+(-36)&lt;=$B$8),INDEX($P$12:$P$71,$A15+(-36)),"")</f>
        <v/>
      </c>
      <c r="R15" s="25" t="str">
        <f aca="false">IF(AND($A15+(-24)&gt;=1,$A15+(-24)&lt;=$B$8),INDEX($P$12:$P$71,$A15+(-24)),"")</f>
        <v/>
      </c>
      <c r="S15" s="25" t="str">
        <f aca="false">IF(AND($A15+(-12)&gt;=1,$A15+(-12)&lt;=$B$8),INDEX($P$12:$P$71,$A15+(-12)),"")</f>
        <v/>
      </c>
      <c r="T15" s="25" t="str">
        <f aca="false">IF(AND($A15+(0)&gt;=1,$A15+(0)&lt;=$B$8),INDEX($P$12:$P$71,$A15+(0)),"")</f>
        <v/>
      </c>
      <c r="U15" s="25" t="n">
        <f aca="false">IF(AND($A15+(12)&gt;=1,$A15+(12)&lt;=$B$8),INDEX($P$12:$P$71,$A15+(12)),"")</f>
        <v>0.896969462715834</v>
      </c>
      <c r="V15" s="25" t="n">
        <f aca="false">IF(AND($A15+(24)&gt;=1,$A15+(24)&lt;=$B$8),INDEX($P$12:$P$71,$A15+(24)),"")</f>
        <v>0.980055871206336</v>
      </c>
      <c r="W15" s="25" t="n">
        <f aca="false">IF(AND($A15+(36)&gt;=1,$A15+(36)&lt;=$B$8),INDEX($P$12:$P$71,$A15+(36)),"")</f>
        <v>0.95959081361067</v>
      </c>
      <c r="X15" s="25" t="n">
        <f aca="false">IF(SUMPRODUCT(Bobot_Filter!$B$43:$H$43,ISNUMBER(Q15:W15)*1)&gt;0,SUMPRODUCT(Bobot_Filter!$B$43:$H$43,Q15:W15)/SUMPRODUCT(Bobot_Filter!$B$43:$H$43,ISNUMBER(Q15:W15)*1),"")</f>
        <v>0.935101824028474</v>
      </c>
      <c r="Y15" s="25" t="str">
        <f aca="false">IF(AND($A15&gt;=$B$6,$A15&lt;=$B$7),SUMPRODUCT(Bobot_Filter!$B$4:$B$16,X9:X21),"")</f>
        <v/>
      </c>
      <c r="Z15" s="33" t="n">
        <f aca="false">X15/INDEX($Y$12:$Y$71,MAX($B$6,MIN($A15,$B$7)))</f>
        <v>0.936109755213352</v>
      </c>
      <c r="AA15" s="27" t="n">
        <f aca="false">C15/Z15</f>
        <v>277.745209418037</v>
      </c>
      <c r="AB15" s="27" t="str">
        <f aca="false">IF(AND($A15&gt;=$B$6,$A15&lt;=$B$7),SUMPRODUCT(Bobot_Filter!$B$20:$B$32,AA9:AA21),"")</f>
        <v/>
      </c>
      <c r="AC15" s="25" t="str">
        <f aca="false">IF(ISNUMBER(AB15),AA15/AB15,"")</f>
        <v/>
      </c>
      <c r="AD15" s="27" t="n">
        <f aca="false">$B$4+$B$3*A15</f>
        <v>255.68302664391</v>
      </c>
      <c r="AE15" s="27" t="n">
        <f aca="false">AD15*Z15</f>
        <v>239.34737548384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Data!D9</f>
        <v>252</v>
      </c>
      <c r="D16" s="27" t="str">
        <f aca="false">IF(AND($A16&gt;=$B$6,$A16&lt;=$B$7),SUMPRODUCT(Bobot_Filter!$B$4:$B$16,C10:C22),"")</f>
        <v/>
      </c>
      <c r="E16" s="25" t="str">
        <f aca="false">IF(ISNUMBER(D16),C16/D16,"")</f>
        <v/>
      </c>
      <c r="F16" s="25" t="str">
        <f aca="false">IF(AND($A16+(-24)&gt;=1,$A16+(-24)&lt;=$B$8),INDEX($E$12:$E$71,$A16+(-24)),"")</f>
        <v/>
      </c>
      <c r="G16" s="25" t="str">
        <f aca="false">IF(AND($A16+(-12)&gt;=1,$A16+(-12)&lt;=$B$8),INDEX($E$12:$E$71,$A16+(-12)),"")</f>
        <v/>
      </c>
      <c r="H16" s="25" t="str">
        <f aca="false">IF(AND($A16+(0)&gt;=1,$A16+(0)&lt;=$B$8),INDEX($E$12:$E$71,$A16+(0)),"")</f>
        <v/>
      </c>
      <c r="I16" s="25" t="n">
        <f aca="false">IF(AND($A16+(12)&gt;=1,$A16+(12)&lt;=$B$8),INDEX($E$12:$E$71,$A16+(12)),"")</f>
        <v>0.900360144057623</v>
      </c>
      <c r="J16" s="25" t="n">
        <f aca="false">IF(AND($A16+(24)&gt;=1,$A16+(24)&lt;=$B$8),INDEX($E$12:$E$71,$A16+(24)),"")</f>
        <v>0.85171102661597</v>
      </c>
      <c r="K16" s="25" t="n">
        <f aca="false">IF(SUMPRODUCT(Bobot_Filter!$B$38:$F$38,ISNUMBER(F16:J16)*1)&gt;0,SUMPRODUCT(Bobot_Filter!$B$38:$F$38,F16:J16)/SUMPRODUCT(Bobot_Filter!$B$38:$F$38,ISNUMBER(F16:J16)*1),"")</f>
        <v>0.884143771577072</v>
      </c>
      <c r="L16" s="25" t="str">
        <f aca="false">IF(AND($A16&gt;=$B$6,$A16&lt;=$B$7),SUMPRODUCT(Bobot_Filter!$B$4:$B$16,K10:K22),"")</f>
        <v/>
      </c>
      <c r="M16" s="25" t="n">
        <f aca="false">K16/INDEX($L$12:$L$71,MAX($B$6,MIN($A16,$B$7)))</f>
        <v>0.885109187221301</v>
      </c>
      <c r="N16" s="27" t="n">
        <f aca="false">C16/M16</f>
        <v>284.710636425688</v>
      </c>
      <c r="O16" s="27" t="str">
        <f aca="false">IF(AND($A16&gt;=$B$6,$A16&lt;=$B$7),SUMPRODUCT(Bobot_Filter!$B$20:$B$32,N10:N22),"")</f>
        <v/>
      </c>
      <c r="P16" s="25" t="str">
        <f aca="false">IF(ISNUMBER(O16),C16/O16,"")</f>
        <v/>
      </c>
      <c r="Q16" s="25" t="str">
        <f aca="false">IF(AND($A16+(-36)&gt;=1,$A16+(-36)&lt;=$B$8),INDEX($P$12:$P$71,$A16+(-36)),"")</f>
        <v/>
      </c>
      <c r="R16" s="25" t="str">
        <f aca="false">IF(AND($A16+(-24)&gt;=1,$A16+(-24)&lt;=$B$8),INDEX($P$12:$P$71,$A16+(-24)),"")</f>
        <v/>
      </c>
      <c r="S16" s="25" t="str">
        <f aca="false">IF(AND($A16+(-12)&gt;=1,$A16+(-12)&lt;=$B$8),INDEX($P$12:$P$71,$A16+(-12)),"")</f>
        <v/>
      </c>
      <c r="T16" s="25" t="str">
        <f aca="false">IF(AND($A16+(0)&gt;=1,$A16+(0)&lt;=$B$8),INDEX($P$12:$P$71,$A16+(0)),"")</f>
        <v/>
      </c>
      <c r="U16" s="25" t="n">
        <f aca="false">IF(AND($A16+(12)&gt;=1,$A16+(12)&lt;=$B$8),INDEX($P$12:$P$71,$A16+(12)),"")</f>
        <v>0.906224098324454</v>
      </c>
      <c r="V16" s="25" t="n">
        <f aca="false">IF(AND($A16+(24)&gt;=1,$A16+(24)&lt;=$B$8),INDEX($P$12:$P$71,$A16+(24)),"")</f>
        <v>0.859196049380856</v>
      </c>
      <c r="W16" s="25" t="n">
        <f aca="false">IF(AND($A16+(36)&gt;=1,$A16+(36)&lt;=$B$8),INDEX($P$12:$P$71,$A16+(36)),"")</f>
        <v>0.917866714886047</v>
      </c>
      <c r="X16" s="25" t="n">
        <f aca="false">IF(SUMPRODUCT(Bobot_Filter!$B$43:$H$43,ISNUMBER(Q16:W16)*1)&gt;0,SUMPRODUCT(Bobot_Filter!$B$43:$H$43,Q16:W16)/SUMPRODUCT(Bobot_Filter!$B$43:$H$43,ISNUMBER(Q16:W16)*1),"")</f>
        <v>0.89248851810352</v>
      </c>
      <c r="Y16" s="25" t="str">
        <f aca="false">IF(AND($A16&gt;=$B$6,$A16&lt;=$B$7),SUMPRODUCT(Bobot_Filter!$B$4:$B$16,X10:X22),"")</f>
        <v/>
      </c>
      <c r="Z16" s="33" t="n">
        <f aca="false">X16/INDEX($Y$12:$Y$71,MAX($B$6,MIN($A16,$B$7)))</f>
        <v>0.89345051709275</v>
      </c>
      <c r="AA16" s="27" t="n">
        <f aca="false">C16/Z16</f>
        <v>282.052553755296</v>
      </c>
      <c r="AB16" s="27" t="str">
        <f aca="false">IF(AND($A16&gt;=$B$6,$A16&lt;=$B$7),SUMPRODUCT(Bobot_Filter!$B$20:$B$32,AA10:AA22),"")</f>
        <v/>
      </c>
      <c r="AC16" s="25" t="str">
        <f aca="false">IF(ISNUMBER(AB16),AA16/AB16,"")</f>
        <v/>
      </c>
      <c r="AD16" s="27" t="n">
        <f aca="false">$B$4+$B$3*A16</f>
        <v>257.232096262785</v>
      </c>
      <c r="AE16" s="27" t="n">
        <f aca="false">AD16*Z16</f>
        <v>229.824149418838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Data!D10</f>
        <v>241</v>
      </c>
      <c r="D17" s="27" t="str">
        <f aca="false">IF(AND($A17&gt;=$B$6,$A17&lt;=$B$7),SUMPRODUCT(Bobot_Filter!$B$4:$B$16,C11:C23),"")</f>
        <v/>
      </c>
      <c r="E17" s="25" t="str">
        <f aca="false">IF(ISNUMBER(D17),C17/D17,"")</f>
        <v/>
      </c>
      <c r="F17" s="25" t="str">
        <f aca="false">IF(AND($A17+(-24)&gt;=1,$A17+(-24)&lt;=$B$8),INDEX($E$12:$E$71,$A17+(-24)),"")</f>
        <v/>
      </c>
      <c r="G17" s="25" t="str">
        <f aca="false">IF(AND($A17+(-12)&gt;=1,$A17+(-12)&lt;=$B$8),INDEX($E$12:$E$71,$A17+(-12)),"")</f>
        <v/>
      </c>
      <c r="H17" s="25" t="str">
        <f aca="false">IF(AND($A17+(0)&gt;=1,$A17+(0)&lt;=$B$8),INDEX($E$12:$E$71,$A17+(0)),"")</f>
        <v/>
      </c>
      <c r="I17" s="25" t="n">
        <f aca="false">IF(AND($A17+(12)&gt;=1,$A17+(12)&lt;=$B$8),INDEX($E$12:$E$71,$A17+(12)),"")</f>
        <v>0.953929539295393</v>
      </c>
      <c r="J17" s="25" t="n">
        <f aca="false">IF(AND($A17+(24)&gt;=1,$A17+(24)&lt;=$B$8),INDEX($E$12:$E$71,$A17+(24)),"")</f>
        <v>0.920214265576544</v>
      </c>
      <c r="K17" s="25" t="n">
        <f aca="false">IF(SUMPRODUCT(Bobot_Filter!$B$38:$F$38,ISNUMBER(F17:J17)*1)&gt;0,SUMPRODUCT(Bobot_Filter!$B$38:$F$38,F17:J17)/SUMPRODUCT(Bobot_Filter!$B$38:$F$38,ISNUMBER(F17:J17)*1),"")</f>
        <v>0.942691114722443</v>
      </c>
      <c r="L17" s="25" t="str">
        <f aca="false">IF(AND($A17&gt;=$B$6,$A17&lt;=$B$7),SUMPRODUCT(Bobot_Filter!$B$4:$B$16,K11:K23),"")</f>
        <v/>
      </c>
      <c r="M17" s="25" t="n">
        <f aca="false">K17/INDEX($L$12:$L$71,MAX($B$6,MIN($A17,$B$7)))</f>
        <v>0.943720459472795</v>
      </c>
      <c r="N17" s="27" t="n">
        <f aca="false">C17/M17</f>
        <v>255.372231873233</v>
      </c>
      <c r="O17" s="27" t="str">
        <f aca="false">IF(AND($A17&gt;=$B$6,$A17&lt;=$B$7),SUMPRODUCT(Bobot_Filter!$B$20:$B$32,N11:N23),"")</f>
        <v/>
      </c>
      <c r="P17" s="25" t="str">
        <f aca="false">IF(ISNUMBER(O17),C17/O17,"")</f>
        <v/>
      </c>
      <c r="Q17" s="25" t="str">
        <f aca="false">IF(AND($A17+(-36)&gt;=1,$A17+(-36)&lt;=$B$8),INDEX($P$12:$P$71,$A17+(-36)),"")</f>
        <v/>
      </c>
      <c r="R17" s="25" t="str">
        <f aca="false">IF(AND($A17+(-24)&gt;=1,$A17+(-24)&lt;=$B$8),INDEX($P$12:$P$71,$A17+(-24)),"")</f>
        <v/>
      </c>
      <c r="S17" s="25" t="str">
        <f aca="false">IF(AND($A17+(-12)&gt;=1,$A17+(-12)&lt;=$B$8),INDEX($P$12:$P$71,$A17+(-12)),"")</f>
        <v/>
      </c>
      <c r="T17" s="25" t="str">
        <f aca="false">IF(AND($A17+(0)&gt;=1,$A17+(0)&lt;=$B$8),INDEX($P$12:$P$71,$A17+(0)),"")</f>
        <v/>
      </c>
      <c r="U17" s="25" t="n">
        <f aca="false">IF(AND($A17+(12)&gt;=1,$A17+(12)&lt;=$B$8),INDEX($P$12:$P$71,$A17+(12)),"")</f>
        <v>0.953882286155641</v>
      </c>
      <c r="V17" s="25" t="n">
        <f aca="false">IF(AND($A17+(24)&gt;=1,$A17+(24)&lt;=$B$8),INDEX($P$12:$P$71,$A17+(24)),"")</f>
        <v>0.920120502119935</v>
      </c>
      <c r="W17" s="25" t="n">
        <f aca="false">IF(AND($A17+(36)&gt;=1,$A17+(36)&lt;=$B$8),INDEX($P$12:$P$71,$A17+(36)),"")</f>
        <v>0.875464314911227</v>
      </c>
      <c r="X17" s="25" t="n">
        <f aca="false">IF(SUMPRODUCT(Bobot_Filter!$B$43:$H$43,ISNUMBER(Q17:W17)*1)&gt;0,SUMPRODUCT(Bobot_Filter!$B$43:$H$43,Q17:W17)/SUMPRODUCT(Bobot_Filter!$B$43:$H$43,ISNUMBER(Q17:W17)*1),"")</f>
        <v>0.92955869626967</v>
      </c>
      <c r="Y17" s="25" t="str">
        <f aca="false">IF(AND($A17&gt;=$B$6,$A17&lt;=$B$7),SUMPRODUCT(Bobot_Filter!$B$4:$B$16,X11:X23),"")</f>
        <v/>
      </c>
      <c r="Z17" s="33" t="n">
        <f aca="false">X17/INDEX($Y$12:$Y$71,MAX($B$6,MIN($A17,$B$7)))</f>
        <v>0.930560652606476</v>
      </c>
      <c r="AA17" s="27" t="n">
        <f aca="false">C17/Z17</f>
        <v>258.983656062574</v>
      </c>
      <c r="AB17" s="27" t="str">
        <f aca="false">IF(AND($A17&gt;=$B$6,$A17&lt;=$B$7),SUMPRODUCT(Bobot_Filter!$B$20:$B$32,AA11:AA23),"")</f>
        <v/>
      </c>
      <c r="AC17" s="25" t="str">
        <f aca="false">IF(ISNUMBER(AB17),AA17/AB17,"")</f>
        <v/>
      </c>
      <c r="AD17" s="27" t="n">
        <f aca="false">$B$4+$B$3*A17</f>
        <v>258.78116588166</v>
      </c>
      <c r="AE17" s="27" t="n">
        <f aca="false">AD17*Z17</f>
        <v>240.811570605103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Data!D11</f>
        <v>302</v>
      </c>
      <c r="D18" s="27" t="n">
        <f aca="false">IF(AND($A18&gt;=$B$6,$A18&lt;=$B$7),SUMPRODUCT(Bobot_Filter!$B$4:$B$16,C12:C24),"")</f>
        <v>266.375</v>
      </c>
      <c r="E18" s="25" t="n">
        <f aca="false">IF(ISNUMBER(D18),C18/D18,"")</f>
        <v>1.1337400281558</v>
      </c>
      <c r="F18" s="25" t="str">
        <f aca="false">IF(AND($A18+(-24)&gt;=1,$A18+(-24)&lt;=$B$8),INDEX($E$12:$E$71,$A18+(-24)),"")</f>
        <v/>
      </c>
      <c r="G18" s="25" t="str">
        <f aca="false">IF(AND($A18+(-12)&gt;=1,$A18+(-12)&lt;=$B$8),INDEX($E$12:$E$71,$A18+(-12)),"")</f>
        <v/>
      </c>
      <c r="H18" s="25" t="n">
        <f aca="false">IF(AND($A18+(0)&gt;=1,$A18+(0)&lt;=$B$8),INDEX($E$12:$E$71,$A18+(0)),"")</f>
        <v>1.1337400281558</v>
      </c>
      <c r="I18" s="25" t="n">
        <f aca="false">IF(AND($A18+(12)&gt;=1,$A18+(12)&lt;=$B$8),INDEX($E$12:$E$71,$A18+(12)),"")</f>
        <v>1.15749811605124</v>
      </c>
      <c r="J18" s="25" t="n">
        <f aca="false">IF(AND($A18+(24)&gt;=1,$A18+(24)&lt;=$B$8),INDEX($E$12:$E$71,$A18+(24)),"")</f>
        <v>1.07588532883643</v>
      </c>
      <c r="K18" s="25" t="n">
        <f aca="false">IF(SUMPRODUCT(Bobot_Filter!$B$38:$F$38,ISNUMBER(F18:J18)*1)&gt;0,SUMPRODUCT(Bobot_Filter!$B$38:$F$38,F18:J18)/SUMPRODUCT(Bobot_Filter!$B$38:$F$38,ISNUMBER(F18:J18)*1),"")</f>
        <v>1.13201694090105</v>
      </c>
      <c r="L18" s="25" t="n">
        <f aca="false">IF(AND($A18&gt;=$B$6,$A18&lt;=$B$7),SUMPRODUCT(Bobot_Filter!$B$4:$B$16,K12:K24),"")</f>
        <v>0.998909269434588</v>
      </c>
      <c r="M18" s="25" t="n">
        <f aca="false">K18/INDEX($L$12:$L$71,MAX($B$6,MIN($A18,$B$7)))</f>
        <v>1.13325301460242</v>
      </c>
      <c r="N18" s="27" t="n">
        <f aca="false">C18/M18</f>
        <v>266.489474202679</v>
      </c>
      <c r="O18" s="27" t="n">
        <f aca="false">IF(AND($A18&gt;=$B$6,$A18&lt;=$B$7),SUMPRODUCT(Bobot_Filter!$B$20:$B$32,N12:N24),"")</f>
        <v>267.442983485231</v>
      </c>
      <c r="P18" s="25" t="n">
        <f aca="false">IF(ISNUMBER(O18),C18/O18,"")</f>
        <v>1.12921264960641</v>
      </c>
      <c r="Q18" s="25" t="str">
        <f aca="false">IF(AND($A18+(-36)&gt;=1,$A18+(-36)&lt;=$B$8),INDEX($P$12:$P$71,$A18+(-36)),"")</f>
        <v/>
      </c>
      <c r="R18" s="25" t="str">
        <f aca="false">IF(AND($A18+(-24)&gt;=1,$A18+(-24)&lt;=$B$8),INDEX($P$12:$P$71,$A18+(-24)),"")</f>
        <v/>
      </c>
      <c r="S18" s="25" t="str">
        <f aca="false">IF(AND($A18+(-12)&gt;=1,$A18+(-12)&lt;=$B$8),INDEX($P$12:$P$71,$A18+(-12)),"")</f>
        <v/>
      </c>
      <c r="T18" s="25" t="n">
        <f aca="false">IF(AND($A18+(0)&gt;=1,$A18+(0)&lt;=$B$8),INDEX($P$12:$P$71,$A18+(0)),"")</f>
        <v>1.12921264960641</v>
      </c>
      <c r="U18" s="25" t="n">
        <f aca="false">IF(AND($A18+(12)&gt;=1,$A18+(12)&lt;=$B$8),INDEX($P$12:$P$71,$A18+(12)),"")</f>
        <v>1.15559712547743</v>
      </c>
      <c r="V18" s="25" t="n">
        <f aca="false">IF(AND($A18+(24)&gt;=1,$A18+(24)&lt;=$B$8),INDEX($P$12:$P$71,$A18+(24)),"")</f>
        <v>1.06908151333573</v>
      </c>
      <c r="W18" s="25" t="n">
        <f aca="false">IF(AND($A18+(36)&gt;=1,$A18+(36)&lt;=$B$8),INDEX($P$12:$P$71,$A18+(36)),"")</f>
        <v>1.07652151167566</v>
      </c>
      <c r="X18" s="25" t="n">
        <f aca="false">IF(SUMPRODUCT(Bobot_Filter!$B$43:$H$43,ISNUMBER(Q18:W18)*1)&gt;0,SUMPRODUCT(Bobot_Filter!$B$43:$H$43,Q18:W18)/SUMPRODUCT(Bobot_Filter!$B$43:$H$43,ISNUMBER(Q18:W18)*1),"")</f>
        <v>1.11879042928874</v>
      </c>
      <c r="Y18" s="25" t="n">
        <f aca="false">IF(AND($A18&gt;=$B$6,$A18&lt;=$B$7),SUMPRODUCT(Bobot_Filter!$B$4:$B$16,X12:X24),"")</f>
        <v>0.998923276699912</v>
      </c>
      <c r="Z18" s="33" t="n">
        <f aca="false">X18/INDEX($Y$12:$Y$71,MAX($B$6,MIN($A18,$B$7)))</f>
        <v>1.11999635546067</v>
      </c>
      <c r="AA18" s="27" t="n">
        <f aca="false">C18/Z18</f>
        <v>269.643734577853</v>
      </c>
      <c r="AB18" s="27" t="n">
        <f aca="false">IF(AND($A18&gt;=$B$6,$A18&lt;=$B$7),SUMPRODUCT(Bobot_Filter!$B$20:$B$32,AA12:AA24),"")</f>
        <v>266.498167317511</v>
      </c>
      <c r="AC18" s="25" t="n">
        <f aca="false">IF(ISNUMBER(AB18),AA18/AB18,"")</f>
        <v>1.01180333543005</v>
      </c>
      <c r="AD18" s="27" t="n">
        <f aca="false">$B$4+$B$3*A18</f>
        <v>260.330235500535</v>
      </c>
      <c r="AE18" s="27" t="n">
        <f aca="false">AD18*Z18</f>
        <v>291.568914976818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Data!D12</f>
        <v>288</v>
      </c>
      <c r="D19" s="27" t="n">
        <f aca="false">IF(AND($A19&gt;=$B$6,$A19&lt;=$B$7),SUMPRODUCT(Bobot_Filter!$B$4:$B$16,C13:C25),"")</f>
        <v>267.625</v>
      </c>
      <c r="E19" s="25" t="n">
        <f aca="false">IF(ISNUMBER(D19),C19/D19,"")</f>
        <v>1.07613264829519</v>
      </c>
      <c r="F19" s="25" t="str">
        <f aca="false">IF(AND($A19+(-24)&gt;=1,$A19+(-24)&lt;=$B$8),INDEX($E$12:$E$71,$A19+(-24)),"")</f>
        <v/>
      </c>
      <c r="G19" s="25" t="str">
        <f aca="false">IF(AND($A19+(-12)&gt;=1,$A19+(-12)&lt;=$B$8),INDEX($E$12:$E$71,$A19+(-12)),"")</f>
        <v/>
      </c>
      <c r="H19" s="25" t="n">
        <f aca="false">IF(AND($A19+(0)&gt;=1,$A19+(0)&lt;=$B$8),INDEX($E$12:$E$71,$A19+(0)),"")</f>
        <v>1.07613264829519</v>
      </c>
      <c r="I19" s="25" t="n">
        <f aca="false">IF(AND($A19+(12)&gt;=1,$A19+(12)&lt;=$B$8),INDEX($E$12:$E$71,$A19+(12)),"")</f>
        <v>0.996118244252016</v>
      </c>
      <c r="J19" s="25" t="n">
        <f aca="false">IF(AND($A19+(24)&gt;=1,$A19+(24)&lt;=$B$8),INDEX($E$12:$E$71,$A19+(24)),"")</f>
        <v>1.12996898787708</v>
      </c>
      <c r="K19" s="25" t="n">
        <f aca="false">IF(SUMPRODUCT(Bobot_Filter!$B$38:$F$38,ISNUMBER(F19:J19)*1)&gt;0,SUMPRODUCT(Bobot_Filter!$B$38:$F$38,F19:J19)/SUMPRODUCT(Bobot_Filter!$B$38:$F$38,ISNUMBER(F19:J19)*1),"")</f>
        <v>1.05843390354445</v>
      </c>
      <c r="L19" s="25" t="n">
        <f aca="false">IF(AND($A19&gt;=$B$6,$A19&lt;=$B$7),SUMPRODUCT(Bobot_Filter!$B$4:$B$16,K13:K25),"")</f>
        <v>0.998528775000724</v>
      </c>
      <c r="M19" s="25" t="n">
        <f aca="false">K19/INDEX($L$12:$L$71,MAX($B$6,MIN($A19,$B$7)))</f>
        <v>1.0599933923223</v>
      </c>
      <c r="N19" s="27" t="n">
        <f aca="false">C19/M19</f>
        <v>271.699806891279</v>
      </c>
      <c r="O19" s="27" t="n">
        <f aca="false">IF(AND($A19&gt;=$B$6,$A19&lt;=$B$7),SUMPRODUCT(Bobot_Filter!$B$20:$B$32,N13:N25),"")</f>
        <v>265.852999780163</v>
      </c>
      <c r="P19" s="25" t="n">
        <f aca="false">IF(ISNUMBER(O19),C19/O19,"")</f>
        <v>1.08330543660651</v>
      </c>
      <c r="Q19" s="25" t="str">
        <f aca="false">IF(AND($A19+(-36)&gt;=1,$A19+(-36)&lt;=$B$8),INDEX($P$12:$P$71,$A19+(-36)),"")</f>
        <v/>
      </c>
      <c r="R19" s="25" t="str">
        <f aca="false">IF(AND($A19+(-24)&gt;=1,$A19+(-24)&lt;=$B$8),INDEX($P$12:$P$71,$A19+(-24)),"")</f>
        <v/>
      </c>
      <c r="S19" s="25" t="str">
        <f aca="false">IF(AND($A19+(-12)&gt;=1,$A19+(-12)&lt;=$B$8),INDEX($P$12:$P$71,$A19+(-12)),"")</f>
        <v/>
      </c>
      <c r="T19" s="25" t="n">
        <f aca="false">IF(AND($A19+(0)&gt;=1,$A19+(0)&lt;=$B$8),INDEX($P$12:$P$71,$A19+(0)),"")</f>
        <v>1.08330543660651</v>
      </c>
      <c r="U19" s="25" t="n">
        <f aca="false">IF(AND($A19+(12)&gt;=1,$A19+(12)&lt;=$B$8),INDEX($P$12:$P$71,$A19+(12)),"")</f>
        <v>1.00605186014189</v>
      </c>
      <c r="V19" s="25" t="n">
        <f aca="false">IF(AND($A19+(24)&gt;=1,$A19+(24)&lt;=$B$8),INDEX($P$12:$P$71,$A19+(24)),"")</f>
        <v>1.10820549559171</v>
      </c>
      <c r="W19" s="25" t="n">
        <f aca="false">IF(AND($A19+(36)&gt;=1,$A19+(36)&lt;=$B$8),INDEX($P$12:$P$71,$A19+(36)),"")</f>
        <v>1.10836608170094</v>
      </c>
      <c r="X19" s="25" t="n">
        <f aca="false">IF(SUMPRODUCT(Bobot_Filter!$B$43:$H$43,ISNUMBER(Q19:W19)*1)&gt;0,SUMPRODUCT(Bobot_Filter!$B$43:$H$43,Q19:W19)/SUMPRODUCT(Bobot_Filter!$B$43:$H$43,ISNUMBER(Q19:W19)*1),"")</f>
        <v>1.0658721070144</v>
      </c>
      <c r="Y19" s="25" t="n">
        <f aca="false">IF(AND($A19&gt;=$B$6,$A19&lt;=$B$7),SUMPRODUCT(Bobot_Filter!$B$4:$B$16,X13:X25),"")</f>
        <v>0.999731007744013</v>
      </c>
      <c r="Z19" s="33" t="n">
        <f aca="false">X19/INDEX($Y$12:$Y$71,MAX($B$6,MIN($A19,$B$7)))</f>
        <v>1.06615889550094</v>
      </c>
      <c r="AA19" s="27" t="n">
        <f aca="false">C19/Z19</f>
        <v>270.128590790102</v>
      </c>
      <c r="AB19" s="27" t="n">
        <f aca="false">IF(AND($A19&gt;=$B$6,$A19&lt;=$B$7),SUMPRODUCT(Bobot_Filter!$B$20:$B$32,AA13:AA25),"")</f>
        <v>264.649383085184</v>
      </c>
      <c r="AC19" s="25" t="n">
        <f aca="false">IF(ISNUMBER(AB19),AA19/AB19,"")</f>
        <v>1.02070364812887</v>
      </c>
      <c r="AD19" s="27" t="n">
        <f aca="false">$B$4+$B$3*A19</f>
        <v>261.87930511941</v>
      </c>
      <c r="AE19" s="27" t="n">
        <f aca="false">AD19*Z19</f>
        <v>279.204950700664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Data!D13</f>
        <v>244</v>
      </c>
      <c r="D20" s="27" t="n">
        <f aca="false">IF(AND($A20&gt;=$B$6,$A20&lt;=$B$7),SUMPRODUCT(Bobot_Filter!$B$4:$B$16,C14:C26),"")</f>
        <v>269.5</v>
      </c>
      <c r="E20" s="25" t="n">
        <f aca="false">IF(ISNUMBER(D20),C20/D20,"")</f>
        <v>0.905380333951763</v>
      </c>
      <c r="F20" s="25" t="str">
        <f aca="false">IF(AND($A20+(-24)&gt;=1,$A20+(-24)&lt;=$B$8),INDEX($E$12:$E$71,$A20+(-24)),"")</f>
        <v/>
      </c>
      <c r="G20" s="25" t="str">
        <f aca="false">IF(AND($A20+(-12)&gt;=1,$A20+(-12)&lt;=$B$8),INDEX($E$12:$E$71,$A20+(-12)),"")</f>
        <v/>
      </c>
      <c r="H20" s="25" t="n">
        <f aca="false">IF(AND($A20+(0)&gt;=1,$A20+(0)&lt;=$B$8),INDEX($E$12:$E$71,$A20+(0)),"")</f>
        <v>0.905380333951763</v>
      </c>
      <c r="I20" s="25" t="n">
        <f aca="false">IF(AND($A20+(12)&gt;=1,$A20+(12)&lt;=$B$8),INDEX($E$12:$E$71,$A20+(12)),"")</f>
        <v>0.904316866933689</v>
      </c>
      <c r="J20" s="25" t="n">
        <f aca="false">IF(AND($A20+(24)&gt;=1,$A20+(24)&lt;=$B$8),INDEX($E$12:$E$71,$A20+(24)),"")</f>
        <v>0.959594537519358</v>
      </c>
      <c r="K20" s="25" t="n">
        <f aca="false">IF(SUMPRODUCT(Bobot_Filter!$B$38:$F$38,ISNUMBER(F20:J20)*1)&gt;0,SUMPRODUCT(Bobot_Filter!$B$38:$F$38,F20:J20)/SUMPRODUCT(Bobot_Filter!$B$38:$F$38,ISNUMBER(F20:J20)*1),"")</f>
        <v>0.914061545540337</v>
      </c>
      <c r="L20" s="25" t="n">
        <f aca="false">IF(AND($A20&gt;=$B$6,$A20&lt;=$B$7),SUMPRODUCT(Bobot_Filter!$B$4:$B$16,K14:K26),"")</f>
        <v>0.998336922957483</v>
      </c>
      <c r="M20" s="25" t="n">
        <f aca="false">K20/INDEX($L$12:$L$71,MAX($B$6,MIN($A20,$B$7)))</f>
        <v>0.915584232658162</v>
      </c>
      <c r="N20" s="27" t="n">
        <f aca="false">C20/M20</f>
        <v>266.496507144525</v>
      </c>
      <c r="O20" s="27" t="n">
        <f aca="false">IF(AND($A20&gt;=$B$6,$A20&lt;=$B$7),SUMPRODUCT(Bobot_Filter!$B$20:$B$32,N14:N26),"")</f>
        <v>265.612955653305</v>
      </c>
      <c r="P20" s="25" t="n">
        <f aca="false">IF(ISNUMBER(O20),C20/O20,"")</f>
        <v>0.918629889117625</v>
      </c>
      <c r="Q20" s="25" t="str">
        <f aca="false">IF(AND($A20+(-36)&gt;=1,$A20+(-36)&lt;=$B$8),INDEX($P$12:$P$71,$A20+(-36)),"")</f>
        <v/>
      </c>
      <c r="R20" s="25" t="str">
        <f aca="false">IF(AND($A20+(-24)&gt;=1,$A20+(-24)&lt;=$B$8),INDEX($P$12:$P$71,$A20+(-24)),"")</f>
        <v/>
      </c>
      <c r="S20" s="25" t="str">
        <f aca="false">IF(AND($A20+(-12)&gt;=1,$A20+(-12)&lt;=$B$8),INDEX($P$12:$P$71,$A20+(-12)),"")</f>
        <v/>
      </c>
      <c r="T20" s="25" t="n">
        <f aca="false">IF(AND($A20+(0)&gt;=1,$A20+(0)&lt;=$B$8),INDEX($P$12:$P$71,$A20+(0)),"")</f>
        <v>0.918629889117625</v>
      </c>
      <c r="U20" s="25" t="n">
        <f aca="false">IF(AND($A20+(12)&gt;=1,$A20+(12)&lt;=$B$8),INDEX($P$12:$P$71,$A20+(12)),"")</f>
        <v>0.917764791794422</v>
      </c>
      <c r="V20" s="25" t="n">
        <f aca="false">IF(AND($A20+(24)&gt;=1,$A20+(24)&lt;=$B$8),INDEX($P$12:$P$71,$A20+(24)),"")</f>
        <v>0.93867106849459</v>
      </c>
      <c r="W20" s="25" t="n">
        <f aca="false">IF(AND($A20+(36)&gt;=1,$A20+(36)&lt;=$B$8),INDEX($P$12:$P$71,$A20+(36)),"")</f>
        <v>0.919423367006354</v>
      </c>
      <c r="X20" s="25" t="n">
        <f aca="false">IF(SUMPRODUCT(Bobot_Filter!$B$43:$H$43,ISNUMBER(Q20:W20)*1)&gt;0,SUMPRODUCT(Bobot_Filter!$B$43:$H$43,Q20:W20)/SUMPRODUCT(Bobot_Filter!$B$43:$H$43,ISNUMBER(Q20:W20)*1),"")</f>
        <v>0.922883282970186</v>
      </c>
      <c r="Y20" s="25" t="n">
        <f aca="false">IF(AND($A20&gt;=$B$6,$A20&lt;=$B$7),SUMPRODUCT(Bobot_Filter!$B$4:$B$16,X14:X26),"")</f>
        <v>1.00031090128835</v>
      </c>
      <c r="Z20" s="33" t="n">
        <f aca="false">X20/INDEX($Y$12:$Y$71,MAX($B$6,MIN($A20,$B$7)))</f>
        <v>0.922596446546329</v>
      </c>
      <c r="AA20" s="27" t="n">
        <f aca="false">C20/Z20</f>
        <v>264.470994781517</v>
      </c>
      <c r="AB20" s="27" t="n">
        <f aca="false">IF(AND($A20&gt;=$B$6,$A20&lt;=$B$7),SUMPRODUCT(Bobot_Filter!$B$20:$B$32,AA14:AA26),"")</f>
        <v>264.546258062014</v>
      </c>
      <c r="AC20" s="25" t="n">
        <f aca="false">IF(ISNUMBER(AB20),AA20/AB20,"")</f>
        <v>0.99971550049111</v>
      </c>
      <c r="AD20" s="27" t="n">
        <f aca="false">$B$4+$B$3*A20</f>
        <v>263.428374738285</v>
      </c>
      <c r="AE20" s="27" t="n">
        <f aca="false">AD20*Z20</f>
        <v>243.038082453017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Data!D14</f>
        <v>246</v>
      </c>
      <c r="D21" s="27" t="n">
        <f aca="false">IF(AND($A21&gt;=$B$6,$A21&lt;=$B$7),SUMPRODUCT(Bobot_Filter!$B$4:$B$16,C15:C27),"")</f>
        <v>270.458333333333</v>
      </c>
      <c r="E21" s="25" t="n">
        <f aca="false">IF(ISNUMBER(D21),C21/D21,"")</f>
        <v>0.909567092897859</v>
      </c>
      <c r="F21" s="25" t="str">
        <f aca="false">IF(AND($A21+(-24)&gt;=1,$A21+(-24)&lt;=$B$8),INDEX($E$12:$E$71,$A21+(-24)),"")</f>
        <v/>
      </c>
      <c r="G21" s="25" t="str">
        <f aca="false">IF(AND($A21+(-12)&gt;=1,$A21+(-12)&lt;=$B$8),INDEX($E$12:$E$71,$A21+(-12)),"")</f>
        <v/>
      </c>
      <c r="H21" s="25" t="n">
        <f aca="false">IF(AND($A21+(0)&gt;=1,$A21+(0)&lt;=$B$8),INDEX($E$12:$E$71,$A21+(0)),"")</f>
        <v>0.909567092897859</v>
      </c>
      <c r="I21" s="25" t="n">
        <f aca="false">IF(AND($A21+(12)&gt;=1,$A21+(12)&lt;=$B$8),INDEX($E$12:$E$71,$A21+(12)),"")</f>
        <v>1.05117239345229</v>
      </c>
      <c r="J21" s="25" t="n">
        <f aca="false">IF(AND($A21+(24)&gt;=1,$A21+(24)&lt;=$B$8),INDEX($E$12:$E$71,$A21+(24)),"")</f>
        <v>1.20352990614932</v>
      </c>
      <c r="K21" s="25" t="n">
        <f aca="false">IF(SUMPRODUCT(Bobot_Filter!$B$38:$F$38,ISNUMBER(F21:J21)*1)&gt;0,SUMPRODUCT(Bobot_Filter!$B$38:$F$38,F21:J21)/SUMPRODUCT(Bobot_Filter!$B$38:$F$38,ISNUMBER(F21:J21)*1),"")</f>
        <v>1.00576266195791</v>
      </c>
      <c r="L21" s="25" t="n">
        <f aca="false">IF(AND($A21&gt;=$B$6,$A21&lt;=$B$7),SUMPRODUCT(Bobot_Filter!$B$4:$B$16,K15:K27),"")</f>
        <v>0.998753743495316</v>
      </c>
      <c r="M21" s="25" t="n">
        <f aca="false">K21/INDEX($L$12:$L$71,MAX($B$6,MIN($A21,$B$7)))</f>
        <v>1.00701766427235</v>
      </c>
      <c r="N21" s="27" t="n">
        <f aca="false">C21/M21</f>
        <v>244.2856850756</v>
      </c>
      <c r="O21" s="27" t="n">
        <f aca="false">IF(AND($A21&gt;=$B$6,$A21&lt;=$B$7),SUMPRODUCT(Bobot_Filter!$B$20:$B$32,N15:N27),"")</f>
        <v>267.42828050717</v>
      </c>
      <c r="P21" s="25" t="n">
        <f aca="false">IF(ISNUMBER(O21),C21/O21,"")</f>
        <v>0.919872795552767</v>
      </c>
      <c r="Q21" s="25" t="str">
        <f aca="false">IF(AND($A21+(-36)&gt;=1,$A21+(-36)&lt;=$B$8),INDEX($P$12:$P$71,$A21+(-36)),"")</f>
        <v/>
      </c>
      <c r="R21" s="25" t="str">
        <f aca="false">IF(AND($A21+(-24)&gt;=1,$A21+(-24)&lt;=$B$8),INDEX($P$12:$P$71,$A21+(-24)),"")</f>
        <v/>
      </c>
      <c r="S21" s="25" t="str">
        <f aca="false">IF(AND($A21+(-12)&gt;=1,$A21+(-12)&lt;=$B$8),INDEX($P$12:$P$71,$A21+(-12)),"")</f>
        <v/>
      </c>
      <c r="T21" s="25" t="n">
        <f aca="false">IF(AND($A21+(0)&gt;=1,$A21+(0)&lt;=$B$8),INDEX($P$12:$P$71,$A21+(0)),"")</f>
        <v>0.919872795552767</v>
      </c>
      <c r="U21" s="25" t="n">
        <f aca="false">IF(AND($A21+(12)&gt;=1,$A21+(12)&lt;=$B$8),INDEX($P$12:$P$71,$A21+(12)),"")</f>
        <v>1.06656568756271</v>
      </c>
      <c r="V21" s="25" t="n">
        <f aca="false">IF(AND($A21+(24)&gt;=1,$A21+(24)&lt;=$B$8),INDEX($P$12:$P$71,$A21+(24)),"")</f>
        <v>1.18899539679348</v>
      </c>
      <c r="W21" s="25" t="n">
        <f aca="false">IF(AND($A21+(36)&gt;=1,$A21+(36)&lt;=$B$8),INDEX($P$12:$P$71,$A21+(36)),"")</f>
        <v>1.2466261354919</v>
      </c>
      <c r="X21" s="25" t="n">
        <f aca="false">IF(SUMPRODUCT(Bobot_Filter!$B$43:$H$43,ISNUMBER(Q21:W21)*1)&gt;0,SUMPRODUCT(Bobot_Filter!$B$43:$H$43,Q21:W21)/SUMPRODUCT(Bobot_Filter!$B$43:$H$43,ISNUMBER(Q21:W21)*1),"")</f>
        <v>1.06488137538059</v>
      </c>
      <c r="Y21" s="25" t="n">
        <f aca="false">IF(AND($A21&gt;=$B$6,$A21&lt;=$B$7),SUMPRODUCT(Bobot_Filter!$B$4:$B$16,X15:X27),"")</f>
        <v>1.00062663407925</v>
      </c>
      <c r="Z21" s="33" t="n">
        <f aca="false">X21/INDEX($Y$12:$Y$71,MAX($B$6,MIN($A21,$B$7)))</f>
        <v>1.06421450230581</v>
      </c>
      <c r="AA21" s="27" t="n">
        <f aca="false">C21/Z21</f>
        <v>231.156406407728</v>
      </c>
      <c r="AB21" s="27" t="n">
        <f aca="false">IF(AND($A21&gt;=$B$6,$A21&lt;=$B$7),SUMPRODUCT(Bobot_Filter!$B$20:$B$32,AA15:AA27),"")</f>
        <v>266.930161003613</v>
      </c>
      <c r="AC21" s="25" t="n">
        <f aca="false">IF(ISNUMBER(AB21),AA21/AB21,"")</f>
        <v>0.865980845096777</v>
      </c>
      <c r="AD21" s="27" t="n">
        <f aca="false">$B$4+$B$3*A21</f>
        <v>264.97744435716</v>
      </c>
      <c r="AE21" s="27" t="n">
        <f aca="false">AD21*Z21</f>
        <v>281.992839068822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Data!D15</f>
        <v>346</v>
      </c>
      <c r="D22" s="27" t="n">
        <f aca="false">IF(AND($A22&gt;=$B$6,$A22&lt;=$B$7),SUMPRODUCT(Bobot_Filter!$B$4:$B$16,C16:C28),"")</f>
        <v>269.833333333333</v>
      </c>
      <c r="E22" s="25" t="n">
        <f aca="false">IF(ISNUMBER(D22),C22/D22,"")</f>
        <v>1.28227300802965</v>
      </c>
      <c r="F22" s="25" t="str">
        <f aca="false">IF(AND($A22+(-24)&gt;=1,$A22+(-24)&lt;=$B$8),INDEX($E$12:$E$71,$A22+(-24)),"")</f>
        <v/>
      </c>
      <c r="G22" s="25" t="str">
        <f aca="false">IF(AND($A22+(-12)&gt;=1,$A22+(-12)&lt;=$B$8),INDEX($E$12:$E$71,$A22+(-12)),"")</f>
        <v/>
      </c>
      <c r="H22" s="25" t="n">
        <f aca="false">IF(AND($A22+(0)&gt;=1,$A22+(0)&lt;=$B$8),INDEX($E$12:$E$71,$A22+(0)),"")</f>
        <v>1.28227300802965</v>
      </c>
      <c r="I22" s="25" t="n">
        <f aca="false">IF(AND($A22+(12)&gt;=1,$A22+(12)&lt;=$B$8),INDEX($E$12:$E$71,$A22+(12)),"")</f>
        <v>1.23834652594547</v>
      </c>
      <c r="J22" s="25" t="n">
        <f aca="false">IF(AND($A22+(24)&gt;=1,$A22+(24)&lt;=$B$8),INDEX($E$12:$E$71,$A22+(24)),"")</f>
        <v>1.07327946503204</v>
      </c>
      <c r="K22" s="25" t="n">
        <f aca="false">IF(SUMPRODUCT(Bobot_Filter!$B$38:$F$38,ISNUMBER(F22:J22)*1)&gt;0,SUMPRODUCT(Bobot_Filter!$B$38:$F$38,F22:J22)/SUMPRODUCT(Bobot_Filter!$B$38:$F$38,ISNUMBER(F22:J22)*1),"")</f>
        <v>1.23279859016865</v>
      </c>
      <c r="L22" s="25" t="n">
        <f aca="false">IF(AND($A22&gt;=$B$6,$A22&lt;=$B$7),SUMPRODUCT(Bobot_Filter!$B$4:$B$16,K16:K28),"")</f>
        <v>0.999275288445254</v>
      </c>
      <c r="M22" s="25" t="n">
        <f aca="false">K22/INDEX($L$12:$L$71,MAX($B$6,MIN($A22,$B$7)))</f>
        <v>1.23369266149545</v>
      </c>
      <c r="N22" s="27" t="n">
        <f aca="false">C22/M22</f>
        <v>280.458829657452</v>
      </c>
      <c r="O22" s="27" t="n">
        <f aca="false">IF(AND($A22&gt;=$B$6,$A22&lt;=$B$7),SUMPRODUCT(Bobot_Filter!$B$20:$B$32,N16:N28),"")</f>
        <v>270.42331703986</v>
      </c>
      <c r="P22" s="25" t="n">
        <f aca="false">IF(ISNUMBER(O22),C22/O22,"")</f>
        <v>1.27947546752783</v>
      </c>
      <c r="Q22" s="25" t="str">
        <f aca="false">IF(AND($A22+(-36)&gt;=1,$A22+(-36)&lt;=$B$8),INDEX($P$12:$P$71,$A22+(-36)),"")</f>
        <v/>
      </c>
      <c r="R22" s="25" t="str">
        <f aca="false">IF(AND($A22+(-24)&gt;=1,$A22+(-24)&lt;=$B$8),INDEX($P$12:$P$71,$A22+(-24)),"")</f>
        <v/>
      </c>
      <c r="S22" s="25" t="str">
        <f aca="false">IF(AND($A22+(-12)&gt;=1,$A22+(-12)&lt;=$B$8),INDEX($P$12:$P$71,$A22+(-12)),"")</f>
        <v/>
      </c>
      <c r="T22" s="25" t="n">
        <f aca="false">IF(AND($A22+(0)&gt;=1,$A22+(0)&lt;=$B$8),INDEX($P$12:$P$71,$A22+(0)),"")</f>
        <v>1.27947546752783</v>
      </c>
      <c r="U22" s="25" t="n">
        <f aca="false">IF(AND($A22+(12)&gt;=1,$A22+(12)&lt;=$B$8),INDEX($P$12:$P$71,$A22+(12)),"")</f>
        <v>1.25048286149846</v>
      </c>
      <c r="V22" s="25" t="n">
        <f aca="false">IF(AND($A22+(24)&gt;=1,$A22+(24)&lt;=$B$8),INDEX($P$12:$P$71,$A22+(24)),"")</f>
        <v>1.077578363339</v>
      </c>
      <c r="W22" s="25" t="n">
        <f aca="false">IF(AND($A22+(36)&gt;=1,$A22+(36)&lt;=$B$8),INDEX($P$12:$P$71,$A22+(36)),"")</f>
        <v>1.07812457738207</v>
      </c>
      <c r="X22" s="25" t="n">
        <f aca="false">IF(SUMPRODUCT(Bobot_Filter!$B$43:$H$43,ISNUMBER(Q22:W22)*1)&gt;0,SUMPRODUCT(Bobot_Filter!$B$43:$H$43,Q22:W22)/SUMPRODUCT(Bobot_Filter!$B$43:$H$43,ISNUMBER(Q22:W22)*1),"")</f>
        <v>1.20257292123766</v>
      </c>
      <c r="Y22" s="25" t="n">
        <f aca="false">IF(AND($A22&gt;=$B$6,$A22&lt;=$B$7),SUMPRODUCT(Bobot_Filter!$B$4:$B$16,X16:X28),"")</f>
        <v>1.00062814782284</v>
      </c>
      <c r="Z22" s="33" t="n">
        <f aca="false">X22/INDEX($Y$12:$Y$71,MAX($B$6,MIN($A22,$B$7)))</f>
        <v>1.20181800187633</v>
      </c>
      <c r="AA22" s="27" t="n">
        <f aca="false">C22/Z22</f>
        <v>287.897168672635</v>
      </c>
      <c r="AB22" s="27" t="n">
        <f aca="false">IF(AND($A22&gt;=$B$6,$A22&lt;=$B$7),SUMPRODUCT(Bobot_Filter!$B$20:$B$32,AA16:AA28),"")</f>
        <v>270.771651133092</v>
      </c>
      <c r="AC22" s="25" t="n">
        <f aca="false">IF(ISNUMBER(AB22),AA22/AB22,"")</f>
        <v>1.06324708464818</v>
      </c>
      <c r="AD22" s="27" t="n">
        <f aca="false">$B$4+$B$3*A22</f>
        <v>266.526513976035</v>
      </c>
      <c r="AE22" s="27" t="n">
        <f aca="false">AD22*Z22</f>
        <v>320.316362473744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Data!D16</f>
        <v>289</v>
      </c>
      <c r="D23" s="27" t="n">
        <f aca="false">IF(AND($A23&gt;=$B$6,$A23&lt;=$B$7),SUMPRODUCT(Bobot_Filter!$B$4:$B$16,C17:C29),"")</f>
        <v>270.708333333333</v>
      </c>
      <c r="E23" s="25" t="n">
        <f aca="false">IF(ISNUMBER(D23),C23/D23,"")</f>
        <v>1.06756964752963</v>
      </c>
      <c r="F23" s="25" t="str">
        <f aca="false">IF(AND($A23+(-24)&gt;=1,$A23+(-24)&lt;=$B$8),INDEX($E$12:$E$71,$A23+(-24)),"")</f>
        <v/>
      </c>
      <c r="G23" s="25" t="str">
        <f aca="false">IF(AND($A23+(-12)&gt;=1,$A23+(-12)&lt;=$B$8),INDEX($E$12:$E$71,$A23+(-12)),"")</f>
        <v/>
      </c>
      <c r="H23" s="25" t="n">
        <f aca="false">IF(AND($A23+(0)&gt;=1,$A23+(0)&lt;=$B$8),INDEX($E$12:$E$71,$A23+(0)),"")</f>
        <v>1.06756964752963</v>
      </c>
      <c r="I23" s="25" t="n">
        <f aca="false">IF(AND($A23+(12)&gt;=1,$A23+(12)&lt;=$B$8),INDEX($E$12:$E$71,$A23+(12)),"")</f>
        <v>0.916861826697892</v>
      </c>
      <c r="J23" s="25" t="n">
        <f aca="false">IF(AND($A23+(24)&gt;=1,$A23+(24)&lt;=$B$8),INDEX($E$12:$E$71,$A23+(24)),"")</f>
        <v>0.948419301164726</v>
      </c>
      <c r="K23" s="25" t="n">
        <f aca="false">IF(SUMPRODUCT(Bobot_Filter!$B$38:$F$38,ISNUMBER(F23:J23)*1)&gt;0,SUMPRODUCT(Bobot_Filter!$B$38:$F$38,F23:J23)/SUMPRODUCT(Bobot_Filter!$B$38:$F$38,ISNUMBER(F23:J23)*1),"")</f>
        <v>0.997475316191566</v>
      </c>
      <c r="L23" s="25" t="n">
        <f aca="false">IF(AND($A23&gt;=$B$6,$A23&lt;=$B$7),SUMPRODUCT(Bobot_Filter!$B$4:$B$16,K17:K29),"")</f>
        <v>0.998887776493741</v>
      </c>
      <c r="M23" s="25" t="n">
        <f aca="false">K23/INDEX($L$12:$L$71,MAX($B$6,MIN($A23,$B$7)))</f>
        <v>0.998585966977059</v>
      </c>
      <c r="N23" s="27" t="n">
        <f aca="false">C23/M23</f>
        <v>289.409234214323</v>
      </c>
      <c r="O23" s="27" t="n">
        <f aca="false">IF(AND($A23&gt;=$B$6,$A23&lt;=$B$7),SUMPRODUCT(Bobot_Filter!$B$20:$B$32,N17:N29),"")</f>
        <v>272.411197873943</v>
      </c>
      <c r="P23" s="25" t="n">
        <f aca="false">IF(ISNUMBER(O23),C23/O23,"")</f>
        <v>1.06089618288648</v>
      </c>
      <c r="Q23" s="25" t="str">
        <f aca="false">IF(AND($A23+(-36)&gt;=1,$A23+(-36)&lt;=$B$8),INDEX($P$12:$P$71,$A23+(-36)),"")</f>
        <v/>
      </c>
      <c r="R23" s="25" t="str">
        <f aca="false">IF(AND($A23+(-24)&gt;=1,$A23+(-24)&lt;=$B$8),INDEX($P$12:$P$71,$A23+(-24)),"")</f>
        <v/>
      </c>
      <c r="S23" s="25" t="str">
        <f aca="false">IF(AND($A23+(-12)&gt;=1,$A23+(-12)&lt;=$B$8),INDEX($P$12:$P$71,$A23+(-12)),"")</f>
        <v/>
      </c>
      <c r="T23" s="25" t="n">
        <f aca="false">IF(AND($A23+(0)&gt;=1,$A23+(0)&lt;=$B$8),INDEX($P$12:$P$71,$A23+(0)),"")</f>
        <v>1.06089618288648</v>
      </c>
      <c r="U23" s="25" t="n">
        <f aca="false">IF(AND($A23+(12)&gt;=1,$A23+(12)&lt;=$B$8),INDEX($P$12:$P$71,$A23+(12)),"")</f>
        <v>0.914764667593264</v>
      </c>
      <c r="V23" s="25" t="n">
        <f aca="false">IF(AND($A23+(24)&gt;=1,$A23+(24)&lt;=$B$8),INDEX($P$12:$P$71,$A23+(24)),"")</f>
        <v>0.966555176224561</v>
      </c>
      <c r="W23" s="25" t="n">
        <f aca="false">IF(AND($A23+(36)&gt;=1,$A23+(36)&lt;=$B$8),INDEX($P$12:$P$71,$A23+(36)),"")</f>
        <v>0.839750562477375</v>
      </c>
      <c r="X23" s="25" t="n">
        <f aca="false">IF(SUMPRODUCT(Bobot_Filter!$B$43:$H$43,ISNUMBER(Q23:W23)*1)&gt;0,SUMPRODUCT(Bobot_Filter!$B$43:$H$43,Q23:W23)/SUMPRODUCT(Bobot_Filter!$B$43:$H$43,ISNUMBER(Q23:W23)*1),"")</f>
        <v>0.966649274040637</v>
      </c>
      <c r="Y23" s="25" t="n">
        <f aca="false">IF(AND($A23&gt;=$B$6,$A23&lt;=$B$7),SUMPRODUCT(Bobot_Filter!$B$4:$B$16,X17:X29),"")</f>
        <v>1.00013334157927</v>
      </c>
      <c r="Z23" s="33" t="n">
        <f aca="false">X23/INDEX($Y$12:$Y$71,MAX($B$6,MIN($A23,$B$7)))</f>
        <v>0.966520396684547</v>
      </c>
      <c r="AA23" s="27" t="n">
        <f aca="false">C23/Z23</f>
        <v>299.010761688378</v>
      </c>
      <c r="AB23" s="27" t="n">
        <f aca="false">IF(AND($A23&gt;=$B$6,$A23&lt;=$B$7),SUMPRODUCT(Bobot_Filter!$B$20:$B$32,AA17:AA29),"")</f>
        <v>273.528091680555</v>
      </c>
      <c r="AC23" s="25" t="n">
        <f aca="false">IF(ISNUMBER(AB23),AA23/AB23,"")</f>
        <v>1.09316289910575</v>
      </c>
      <c r="AD23" s="27" t="n">
        <f aca="false">$B$4+$B$3*A23</f>
        <v>268.07558359491</v>
      </c>
      <c r="AE23" s="27" t="n">
        <f aca="false">AD23*Z23</f>
        <v>259.100519397594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Data!D17</f>
        <v>251</v>
      </c>
      <c r="D24" s="27" t="n">
        <f aca="false">IF(AND($A24&gt;=$B$6,$A24&lt;=$B$7),SUMPRODUCT(Bobot_Filter!$B$4:$B$16,C18:C30),"")</f>
        <v>272.416666666667</v>
      </c>
      <c r="E24" s="25" t="n">
        <f aca="false">IF(ISNUMBER(D24),C24/D24,"")</f>
        <v>0.921382685836647</v>
      </c>
      <c r="F24" s="25" t="str">
        <f aca="false">IF(AND($A24+(-24)&gt;=1,$A24+(-24)&lt;=$B$8),INDEX($E$12:$E$71,$A24+(-24)),"")</f>
        <v/>
      </c>
      <c r="G24" s="25" t="str">
        <f aca="false">IF(AND($A24+(-12)&gt;=1,$A24+(-12)&lt;=$B$8),INDEX($E$12:$E$71,$A24+(-12)),"")</f>
        <v/>
      </c>
      <c r="H24" s="25" t="n">
        <f aca="false">IF(AND($A24+(0)&gt;=1,$A24+(0)&lt;=$B$8),INDEX($E$12:$E$71,$A24+(0)),"")</f>
        <v>0.921382685836647</v>
      </c>
      <c r="I24" s="25" t="n">
        <f aca="false">IF(AND($A24+(12)&gt;=1,$A24+(12)&lt;=$B$8),INDEX($E$12:$E$71,$A24+(12)),"")</f>
        <v>0.954525515426232</v>
      </c>
      <c r="J24" s="25" t="n">
        <f aca="false">IF(AND($A24+(24)&gt;=1,$A24+(24)&lt;=$B$8),INDEX($E$12:$E$71,$A24+(24)),"")</f>
        <v>0.895646164478231</v>
      </c>
      <c r="K24" s="25" t="n">
        <f aca="false">IF(SUMPRODUCT(Bobot_Filter!$B$38:$F$38,ISNUMBER(F24:J24)*1)&gt;0,SUMPRODUCT(Bobot_Filter!$B$38:$F$38,F24:J24)/SUMPRODUCT(Bobot_Filter!$B$38:$F$38,ISNUMBER(F24:J24)*1),"")</f>
        <v>0.92814087547344</v>
      </c>
      <c r="L24" s="25" t="n">
        <f aca="false">IF(AND($A24&gt;=$B$6,$A24&lt;=$B$7),SUMPRODUCT(Bobot_Filter!$B$4:$B$16,K18:K30),"")</f>
        <v>0.997978704393517</v>
      </c>
      <c r="M24" s="25" t="n">
        <f aca="false">K24/INDEX($L$12:$L$71,MAX($B$6,MIN($A24,$B$7)))</f>
        <v>0.930020722273309</v>
      </c>
      <c r="N24" s="27" t="n">
        <f aca="false">C24/M24</f>
        <v>269.886459504327</v>
      </c>
      <c r="O24" s="27" t="n">
        <f aca="false">IF(AND($A24&gt;=$B$6,$A24&lt;=$B$7),SUMPRODUCT(Bobot_Filter!$B$20:$B$32,N18:N30),"")</f>
        <v>273.144708203964</v>
      </c>
      <c r="P24" s="25" t="n">
        <f aca="false">IF(ISNUMBER(O24),C24/O24,"")</f>
        <v>0.918926826920521</v>
      </c>
      <c r="Q24" s="25" t="str">
        <f aca="false">IF(AND($A24+(-36)&gt;=1,$A24+(-36)&lt;=$B$8),INDEX($P$12:$P$71,$A24+(-36)),"")</f>
        <v/>
      </c>
      <c r="R24" s="25" t="str">
        <f aca="false">IF(AND($A24+(-24)&gt;=1,$A24+(-24)&lt;=$B$8),INDEX($P$12:$P$71,$A24+(-24)),"")</f>
        <v/>
      </c>
      <c r="S24" s="25" t="str">
        <f aca="false">IF(AND($A24+(-12)&gt;=1,$A24+(-12)&lt;=$B$8),INDEX($P$12:$P$71,$A24+(-12)),"")</f>
        <v/>
      </c>
      <c r="T24" s="25" t="n">
        <f aca="false">IF(AND($A24+(0)&gt;=1,$A24+(0)&lt;=$B$8),INDEX($P$12:$P$71,$A24+(0)),"")</f>
        <v>0.918926826920521</v>
      </c>
      <c r="U24" s="25" t="n">
        <f aca="false">IF(AND($A24+(12)&gt;=1,$A24+(12)&lt;=$B$8),INDEX($P$12:$P$71,$A24+(12)),"")</f>
        <v>0.942097421783349</v>
      </c>
      <c r="V24" s="25" t="n">
        <f aca="false">IF(AND($A24+(24)&gt;=1,$A24+(24)&lt;=$B$8),INDEX($P$12:$P$71,$A24+(24)),"")</f>
        <v>0.917647850236325</v>
      </c>
      <c r="W24" s="25" t="n">
        <f aca="false">IF(AND($A24+(36)&gt;=1,$A24+(36)&lt;=$B$8),INDEX($P$12:$P$71,$A24+(36)),"")</f>
        <v>0.989354482808066</v>
      </c>
      <c r="X24" s="25" t="n">
        <f aca="false">IF(SUMPRODUCT(Bobot_Filter!$B$43:$H$43,ISNUMBER(Q24:W24)*1)&gt;0,SUMPRODUCT(Bobot_Filter!$B$43:$H$43,Q24:W24)/SUMPRODUCT(Bobot_Filter!$B$43:$H$43,ISNUMBER(Q24:W24)*1),"")</f>
        <v>0.934191436599148</v>
      </c>
      <c r="Y24" s="25" t="n">
        <f aca="false">IF(AND($A24&gt;=$B$6,$A24&lt;=$B$7),SUMPRODUCT(Bobot_Filter!$B$4:$B$16,X18:X30),"")</f>
        <v>0.999509097629795</v>
      </c>
      <c r="Z24" s="33" t="n">
        <f aca="false">X24/INDEX($Y$12:$Y$71,MAX($B$6,MIN($A24,$B$7)))</f>
        <v>0.93465025862642</v>
      </c>
      <c r="AA24" s="27" t="n">
        <f aca="false">C24/Z24</f>
        <v>268.549650185594</v>
      </c>
      <c r="AB24" s="27" t="n">
        <f aca="false">IF(AND($A24&gt;=$B$6,$A24&lt;=$B$7),SUMPRODUCT(Bobot_Filter!$B$20:$B$32,AA18:AA30),"")</f>
        <v>274.46962234417</v>
      </c>
      <c r="AC24" s="25" t="n">
        <f aca="false">IF(ISNUMBER(AB24),AA24/AB24,"")</f>
        <v>0.978431229991809</v>
      </c>
      <c r="AD24" s="27" t="n">
        <f aca="false">$B$4+$B$3*A24</f>
        <v>269.624653213785</v>
      </c>
      <c r="AE24" s="27" t="n">
        <f aca="false">AD24*Z24</f>
        <v>252.004751858324</v>
      </c>
      <c r="AF24" s="28" t="n">
        <f aca="false">ABS(C24-AE24)/C24</f>
        <v>0.004002995451488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Data!D18</f>
        <v>277</v>
      </c>
      <c r="D25" s="27" t="n">
        <f aca="false">IF(AND($A25&gt;=$B$6,$A25&lt;=$B$7),SUMPRODUCT(Bobot_Filter!$B$4:$B$16,C19:C31),"")</f>
        <v>272.75</v>
      </c>
      <c r="E25" s="25" t="n">
        <f aca="false">IF(ISNUMBER(D25),C25/D25,"")</f>
        <v>1.01558203483043</v>
      </c>
      <c r="F25" s="25" t="str">
        <f aca="false">IF(AND($A25+(-24)&gt;=1,$A25+(-24)&lt;=$B$8),INDEX($E$12:$E$71,$A25+(-24)),"")</f>
        <v/>
      </c>
      <c r="G25" s="25" t="str">
        <f aca="false">IF(AND($A25+(-12)&gt;=1,$A25+(-12)&lt;=$B$8),INDEX($E$12:$E$71,$A25+(-12)),"")</f>
        <v/>
      </c>
      <c r="H25" s="25" t="n">
        <f aca="false">IF(AND($A25+(0)&gt;=1,$A25+(0)&lt;=$B$8),INDEX($E$12:$E$71,$A25+(0)),"")</f>
        <v>1.01558203483043</v>
      </c>
      <c r="I25" s="25" t="n">
        <f aca="false">IF(AND($A25+(12)&gt;=1,$A25+(12)&lt;=$B$8),INDEX($E$12:$E$71,$A25+(12)),"")</f>
        <v>1.11053089643168</v>
      </c>
      <c r="J25" s="25" t="n">
        <f aca="false">IF(AND($A25+(24)&gt;=1,$A25+(24)&lt;=$B$8),INDEX($E$12:$E$71,$A25+(24)),"")</f>
        <v>0.9865273577124</v>
      </c>
      <c r="K25" s="25" t="n">
        <f aca="false">IF(SUMPRODUCT(Bobot_Filter!$B$38:$F$38,ISNUMBER(F25:J25)*1)&gt;0,SUMPRODUCT(Bobot_Filter!$B$38:$F$38,F25:J25)/SUMPRODUCT(Bobot_Filter!$B$38:$F$38,ISNUMBER(F25:J25)*1),"")</f>
        <v>1.04238920917784</v>
      </c>
      <c r="L25" s="25" t="n">
        <f aca="false">IF(AND($A25&gt;=$B$6,$A25&lt;=$B$7),SUMPRODUCT(Bobot_Filter!$B$4:$B$16,K19:K31),"")</f>
        <v>0.99776808357563</v>
      </c>
      <c r="M25" s="25" t="n">
        <f aca="false">K25/INDEX($L$12:$L$71,MAX($B$6,MIN($A25,$B$7)))</f>
        <v>1.04472093900048</v>
      </c>
      <c r="N25" s="27" t="n">
        <f aca="false">C25/M25</f>
        <v>265.142575073699</v>
      </c>
      <c r="O25" s="27" t="n">
        <f aca="false">IF(AND($A25&gt;=$B$6,$A25&lt;=$B$7),SUMPRODUCT(Bobot_Filter!$B$20:$B$32,N19:N31),"")</f>
        <v>273.983981220496</v>
      </c>
      <c r="P25" s="25" t="n">
        <f aca="false">IF(ISNUMBER(O25),C25/O25,"")</f>
        <v>1.01100801136646</v>
      </c>
      <c r="Q25" s="25" t="str">
        <f aca="false">IF(AND($A25+(-36)&gt;=1,$A25+(-36)&lt;=$B$8),INDEX($P$12:$P$71,$A25+(-36)),"")</f>
        <v/>
      </c>
      <c r="R25" s="25" t="str">
        <f aca="false">IF(AND($A25+(-24)&gt;=1,$A25+(-24)&lt;=$B$8),INDEX($P$12:$P$71,$A25+(-24)),"")</f>
        <v/>
      </c>
      <c r="S25" s="25" t="str">
        <f aca="false">IF(AND($A25+(-12)&gt;=1,$A25+(-12)&lt;=$B$8),INDEX($P$12:$P$71,$A25+(-12)),"")</f>
        <v/>
      </c>
      <c r="T25" s="25" t="n">
        <f aca="false">IF(AND($A25+(0)&gt;=1,$A25+(0)&lt;=$B$8),INDEX($P$12:$P$71,$A25+(0)),"")</f>
        <v>1.01100801136646</v>
      </c>
      <c r="U25" s="25" t="n">
        <f aca="false">IF(AND($A25+(12)&gt;=1,$A25+(12)&lt;=$B$8),INDEX($P$12:$P$71,$A25+(12)),"")</f>
        <v>1.09753851884661</v>
      </c>
      <c r="V25" s="25" t="n">
        <f aca="false">IF(AND($A25+(24)&gt;=1,$A25+(24)&lt;=$B$8),INDEX($P$12:$P$71,$A25+(24)),"")</f>
        <v>1.00891806386972</v>
      </c>
      <c r="W25" s="25" t="n">
        <f aca="false">IF(AND($A25+(36)&gt;=1,$A25+(36)&lt;=$B$8),INDEX($P$12:$P$71,$A25+(36)),"")</f>
        <v>1.11673472309528</v>
      </c>
      <c r="X25" s="25" t="n">
        <f aca="false">IF(SUMPRODUCT(Bobot_Filter!$B$43:$H$43,ISNUMBER(Q25:W25)*1)&gt;0,SUMPRODUCT(Bobot_Filter!$B$43:$H$43,Q25:W25)/SUMPRODUCT(Bobot_Filter!$B$43:$H$43,ISNUMBER(Q25:W25)*1),"")</f>
        <v>1.0511344934971</v>
      </c>
      <c r="Y25" s="25" t="n">
        <f aca="false">IF(AND($A25&gt;=$B$6,$A25&lt;=$B$7),SUMPRODUCT(Bobot_Filter!$B$4:$B$16,X19:X31),"")</f>
        <v>0.999482012515014</v>
      </c>
      <c r="Z25" s="33" t="n">
        <f aca="false">X25/INDEX($Y$12:$Y$71,MAX($B$6,MIN($A25,$B$7)))</f>
        <v>1.05167925018692</v>
      </c>
      <c r="AA25" s="27" t="n">
        <f aca="false">C25/Z25</f>
        <v>263.388290632118</v>
      </c>
      <c r="AB25" s="27" t="n">
        <f aca="false">IF(AND($A25&gt;=$B$6,$A25&lt;=$B$7),SUMPRODUCT(Bobot_Filter!$B$20:$B$32,AA19:AA31),"")</f>
        <v>274.879570713443</v>
      </c>
      <c r="AC25" s="25" t="n">
        <f aca="false">IF(ISNUMBER(AB25),AA25/AB25,"")</f>
        <v>0.958195219632</v>
      </c>
      <c r="AD25" s="27" t="n">
        <f aca="false">$B$4+$B$3*A25</f>
        <v>271.173722832661</v>
      </c>
      <c r="AE25" s="27" t="n">
        <f aca="false">AD25*Z25</f>
        <v>285.187777499048</v>
      </c>
      <c r="AF25" s="28" t="n">
        <f aca="false">ABS(C25-AE25)/C25</f>
        <v>0.0295587635344694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Data!D19</f>
        <v>256</v>
      </c>
      <c r="D26" s="27" t="n">
        <f aca="false">IF(AND($A26&gt;=$B$6,$A26&lt;=$B$7),SUMPRODUCT(Bobot_Filter!$B$4:$B$16,C20:C32),"")</f>
        <v>272.75</v>
      </c>
      <c r="E26" s="25" t="n">
        <f aca="false">IF(ISNUMBER(D26),C26/D26,"")</f>
        <v>0.93858845096242</v>
      </c>
      <c r="F26" s="25" t="str">
        <f aca="false">IF(AND($A26+(-24)&gt;=1,$A26+(-24)&lt;=$B$8),INDEX($E$12:$E$71,$A26+(-24)),"")</f>
        <v/>
      </c>
      <c r="G26" s="25" t="str">
        <f aca="false">IF(AND($A26+(-12)&gt;=1,$A26+(-12)&lt;=$B$8),INDEX($E$12:$E$71,$A26+(-12)),"")</f>
        <v/>
      </c>
      <c r="H26" s="25" t="n">
        <f aca="false">IF(AND($A26+(0)&gt;=1,$A26+(0)&lt;=$B$8),INDEX($E$12:$E$71,$A26+(0)),"")</f>
        <v>0.93858845096242</v>
      </c>
      <c r="I26" s="25" t="n">
        <f aca="false">IF(AND($A26+(12)&gt;=1,$A26+(12)&lt;=$B$8),INDEX($E$12:$E$71,$A26+(12)),"")</f>
        <v>0.883667621776504</v>
      </c>
      <c r="J26" s="25" t="n">
        <f aca="false">IF(AND($A26+(24)&gt;=1,$A26+(24)&lt;=$B$8),INDEX($E$12:$E$71,$A26+(24)),"")</f>
        <v>0.940016433853739</v>
      </c>
      <c r="K26" s="25" t="n">
        <f aca="false">IF(SUMPRODUCT(Bobot_Filter!$B$38:$F$38,ISNUMBER(F26:J26)*1)&gt;0,SUMPRODUCT(Bobot_Filter!$B$38:$F$38,F26:J26)/SUMPRODUCT(Bobot_Filter!$B$38:$F$38,ISNUMBER(F26:J26)*1),"")</f>
        <v>0.920519505049001</v>
      </c>
      <c r="L26" s="25" t="n">
        <f aca="false">IF(AND($A26&gt;=$B$6,$A26&lt;=$B$7),SUMPRODUCT(Bobot_Filter!$B$4:$B$16,K20:K32),"")</f>
        <v>0.99817413498244</v>
      </c>
      <c r="M26" s="25" t="n">
        <f aca="false">K26/INDEX($L$12:$L$71,MAX($B$6,MIN($A26,$B$7)))</f>
        <v>0.922203323837073</v>
      </c>
      <c r="N26" s="27" t="n">
        <f aca="false">C26/M26</f>
        <v>277.59605000646</v>
      </c>
      <c r="O26" s="27" t="n">
        <f aca="false">IF(AND($A26&gt;=$B$6,$A26&lt;=$B$7),SUMPRODUCT(Bobot_Filter!$B$20:$B$32,N20:N32),"")</f>
        <v>274.722723337573</v>
      </c>
      <c r="P26" s="25" t="n">
        <f aca="false">IF(ISNUMBER(O26),C26/O26,"")</f>
        <v>0.931848654126192</v>
      </c>
      <c r="Q26" s="25" t="str">
        <f aca="false">IF(AND($A26+(-36)&gt;=1,$A26+(-36)&lt;=$B$8),INDEX($P$12:$P$71,$A26+(-36)),"")</f>
        <v/>
      </c>
      <c r="R26" s="25" t="str">
        <f aca="false">IF(AND($A26+(-24)&gt;=1,$A26+(-24)&lt;=$B$8),INDEX($P$12:$P$71,$A26+(-24)),"")</f>
        <v/>
      </c>
      <c r="S26" s="25" t="str">
        <f aca="false">IF(AND($A26+(-12)&gt;=1,$A26+(-12)&lt;=$B$8),INDEX($P$12:$P$71,$A26+(-12)),"")</f>
        <v/>
      </c>
      <c r="T26" s="25" t="n">
        <f aca="false">IF(AND($A26+(0)&gt;=1,$A26+(0)&lt;=$B$8),INDEX($P$12:$P$71,$A26+(0)),"")</f>
        <v>0.931848654126192</v>
      </c>
      <c r="U26" s="25" t="n">
        <f aca="false">IF(AND($A26+(12)&gt;=1,$A26+(12)&lt;=$B$8),INDEX($P$12:$P$71,$A26+(12)),"")</f>
        <v>0.882136881125933</v>
      </c>
      <c r="V26" s="25" t="n">
        <f aca="false">IF(AND($A26+(24)&gt;=1,$A26+(24)&lt;=$B$8),INDEX($P$12:$P$71,$A26+(24)),"")</f>
        <v>0.950960595017964</v>
      </c>
      <c r="W26" s="25" t="n">
        <f aca="false">IF(AND($A26+(36)&gt;=1,$A26+(36)&lt;=$B$8),INDEX($P$12:$P$71,$A26+(36)),"")</f>
        <v>0.942867951276267</v>
      </c>
      <c r="X26" s="25" t="n">
        <f aca="false">IF(SUMPRODUCT(Bobot_Filter!$B$43:$H$43,ISNUMBER(Q26:W26)*1)&gt;0,SUMPRODUCT(Bobot_Filter!$B$43:$H$43,Q26:W26)/SUMPRODUCT(Bobot_Filter!$B$43:$H$43,ISNUMBER(Q26:W26)*1),"")</f>
        <v>0.920749527452063</v>
      </c>
      <c r="Y26" s="25" t="n">
        <f aca="false">IF(AND($A26&gt;=$B$6,$A26&lt;=$B$7),SUMPRODUCT(Bobot_Filter!$B$4:$B$16,X20:X32),"")</f>
        <v>0.999850024760561</v>
      </c>
      <c r="Z26" s="33" t="n">
        <f aca="false">X26/INDEX($Y$12:$Y$71,MAX($B$6,MIN($A26,$B$7)))</f>
        <v>0.920887637796039</v>
      </c>
      <c r="AA26" s="27" t="n">
        <f aca="false">C26/Z26</f>
        <v>277.992655665012</v>
      </c>
      <c r="AB26" s="27" t="n">
        <f aca="false">IF(AND($A26&gt;=$B$6,$A26&lt;=$B$7),SUMPRODUCT(Bobot_Filter!$B$20:$B$32,AA20:AA32),"")</f>
        <v>274.913051396972</v>
      </c>
      <c r="AC26" s="25" t="n">
        <f aca="false">IF(ISNUMBER(AB26),AA26/AB26,"")</f>
        <v>1.01120210281902</v>
      </c>
      <c r="AD26" s="27" t="n">
        <f aca="false">$B$4+$B$3*A26</f>
        <v>272.722792451536</v>
      </c>
      <c r="AE26" s="27" t="n">
        <f aca="false">AD26*Z26</f>
        <v>251.147048113834</v>
      </c>
      <c r="AF26" s="28" t="n">
        <f aca="false">ABS(C26-AE26)/C26</f>
        <v>0.0189568433053366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Data!D20</f>
        <v>247</v>
      </c>
      <c r="D27" s="27" t="n">
        <f aca="false">IF(AND($A27&gt;=$B$6,$A27&lt;=$B$7),SUMPRODUCT(Bobot_Filter!$B$4:$B$16,C21:C33),"")</f>
        <v>275.291666666667</v>
      </c>
      <c r="E27" s="25" t="n">
        <f aca="false">IF(ISNUMBER(D27),C27/D27,"")</f>
        <v>0.897230210382927</v>
      </c>
      <c r="F27" s="25" t="str">
        <f aca="false">IF(AND($A27+(-24)&gt;=1,$A27+(-24)&lt;=$B$8),INDEX($E$12:$E$71,$A27+(-24)),"")</f>
        <v/>
      </c>
      <c r="G27" s="25" t="str">
        <f aca="false">IF(AND($A27+(-12)&gt;=1,$A27+(-12)&lt;=$B$8),INDEX($E$12:$E$71,$A27+(-12)),"")</f>
        <v/>
      </c>
      <c r="H27" s="25" t="n">
        <f aca="false">IF(AND($A27+(0)&gt;=1,$A27+(0)&lt;=$B$8),INDEX($E$12:$E$71,$A27+(0)),"")</f>
        <v>0.897230210382927</v>
      </c>
      <c r="I27" s="25" t="n">
        <f aca="false">IF(AND($A27+(12)&gt;=1,$A27+(12)&lt;=$B$8),INDEX($E$12:$E$71,$A27+(12)),"")</f>
        <v>0.970725498515062</v>
      </c>
      <c r="J27" s="25" t="n">
        <f aca="false">IF(AND($A27+(24)&gt;=1,$A27+(24)&lt;=$B$8),INDEX($E$12:$E$71,$A27+(24)),"")</f>
        <v>0.955824384939514</v>
      </c>
      <c r="K27" s="25" t="n">
        <f aca="false">IF(SUMPRODUCT(Bobot_Filter!$B$38:$F$38,ISNUMBER(F27:J27)*1)&gt;0,SUMPRODUCT(Bobot_Filter!$B$38:$F$38,F27:J27)/SUMPRODUCT(Bobot_Filter!$B$38:$F$38,ISNUMBER(F27:J27)*1),"")</f>
        <v>0.931494335519736</v>
      </c>
      <c r="L27" s="25" t="n">
        <f aca="false">IF(AND($A27&gt;=$B$6,$A27&lt;=$B$7),SUMPRODUCT(Bobot_Filter!$B$4:$B$16,K21:K33),"")</f>
        <v>1.00137226758886</v>
      </c>
      <c r="M27" s="25" t="n">
        <f aca="false">K27/INDEX($L$12:$L$71,MAX($B$6,MIN($A27,$B$7)))</f>
        <v>0.930217827744141</v>
      </c>
      <c r="N27" s="27" t="n">
        <f aca="false">C27/M27</f>
        <v>265.529204701437</v>
      </c>
      <c r="O27" s="27" t="n">
        <f aca="false">IF(AND($A27&gt;=$B$6,$A27&lt;=$B$7),SUMPRODUCT(Bobot_Filter!$B$20:$B$32,N21:N33),"")</f>
        <v>275.371693538079</v>
      </c>
      <c r="P27" s="25" t="n">
        <f aca="false">IF(ISNUMBER(O27),C27/O27,"")</f>
        <v>0.896969462715834</v>
      </c>
      <c r="Q27" s="25" t="str">
        <f aca="false">IF(AND($A27+(-36)&gt;=1,$A27+(-36)&lt;=$B$8),INDEX($P$12:$P$71,$A27+(-36)),"")</f>
        <v/>
      </c>
      <c r="R27" s="25" t="str">
        <f aca="false">IF(AND($A27+(-24)&gt;=1,$A27+(-24)&lt;=$B$8),INDEX($P$12:$P$71,$A27+(-24)),"")</f>
        <v/>
      </c>
      <c r="S27" s="25" t="str">
        <f aca="false">IF(AND($A27+(-12)&gt;=1,$A27+(-12)&lt;=$B$8),INDEX($P$12:$P$71,$A27+(-12)),"")</f>
        <v/>
      </c>
      <c r="T27" s="25" t="n">
        <f aca="false">IF(AND($A27+(0)&gt;=1,$A27+(0)&lt;=$B$8),INDEX($P$12:$P$71,$A27+(0)),"")</f>
        <v>0.896969462715834</v>
      </c>
      <c r="U27" s="25" t="n">
        <f aca="false">IF(AND($A27+(12)&gt;=1,$A27+(12)&lt;=$B$8),INDEX($P$12:$P$71,$A27+(12)),"")</f>
        <v>0.980055871206336</v>
      </c>
      <c r="V27" s="25" t="n">
        <f aca="false">IF(AND($A27+(24)&gt;=1,$A27+(24)&lt;=$B$8),INDEX($P$12:$P$71,$A27+(24)),"")</f>
        <v>0.95959081361067</v>
      </c>
      <c r="W27" s="25" t="n">
        <f aca="false">IF(AND($A27+(36)&gt;=1,$A27+(36)&lt;=$B$8),INDEX($P$12:$P$71,$A27+(36)),"")</f>
        <v>0.913281802506942</v>
      </c>
      <c r="X27" s="25" t="n">
        <f aca="false">IF(SUMPRODUCT(Bobot_Filter!$B$43:$H$43,ISNUMBER(Q27:W27)*1)&gt;0,SUMPRODUCT(Bobot_Filter!$B$43:$H$43,Q27:W27)/SUMPRODUCT(Bobot_Filter!$B$43:$H$43,ISNUMBER(Q27:W27)*1),"")</f>
        <v>0.940393270166088</v>
      </c>
      <c r="Y27" s="25" t="n">
        <f aca="false">IF(AND($A27&gt;=$B$6,$A27&lt;=$B$7),SUMPRODUCT(Bobot_Filter!$B$4:$B$16,X21:X33),"")</f>
        <v>1.00105527722679</v>
      </c>
      <c r="Z27" s="33" t="n">
        <f aca="false">X27/INDEX($Y$12:$Y$71,MAX($B$6,MIN($A27,$B$7)))</f>
        <v>0.939401940691274</v>
      </c>
      <c r="AA27" s="27" t="n">
        <f aca="false">C27/Z27</f>
        <v>262.933244334413</v>
      </c>
      <c r="AB27" s="27" t="n">
        <f aca="false">IF(AND($A27&gt;=$B$6,$A27&lt;=$B$7),SUMPRODUCT(Bobot_Filter!$B$20:$B$32,AA21:AA33),"")</f>
        <v>275.166838485712</v>
      </c>
      <c r="AC27" s="25" t="n">
        <f aca="false">IF(ISNUMBER(AB27),AA27/AB27,"")</f>
        <v>0.955541175605959</v>
      </c>
      <c r="AD27" s="27" t="n">
        <f aca="false">$B$4+$B$3*A27</f>
        <v>274.27186207041</v>
      </c>
      <c r="AE27" s="27" t="n">
        <f aca="false">AD27*Z27</f>
        <v>257.651519505953</v>
      </c>
      <c r="AF27" s="28" t="n">
        <f aca="false">ABS(C27-AE27)/C27</f>
        <v>0.0431235607528457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Data!D21</f>
        <v>250</v>
      </c>
      <c r="D28" s="27" t="n">
        <f aca="false">IF(AND($A28&gt;=$B$6,$A28&lt;=$B$7),SUMPRODUCT(Bobot_Filter!$B$4:$B$16,C22:C34),"")</f>
        <v>277.666666666667</v>
      </c>
      <c r="E28" s="25" t="n">
        <f aca="false">IF(ISNUMBER(D28),C28/D28,"")</f>
        <v>0.900360144057623</v>
      </c>
      <c r="F28" s="25" t="str">
        <f aca="false">IF(AND($A28+(-24)&gt;=1,$A28+(-24)&lt;=$B$8),INDEX($E$12:$E$71,$A28+(-24)),"")</f>
        <v/>
      </c>
      <c r="G28" s="25" t="str">
        <f aca="false">IF(AND($A28+(-12)&gt;=1,$A28+(-12)&lt;=$B$8),INDEX($E$12:$E$71,$A28+(-12)),"")</f>
        <v/>
      </c>
      <c r="H28" s="25" t="n">
        <f aca="false">IF(AND($A28+(0)&gt;=1,$A28+(0)&lt;=$B$8),INDEX($E$12:$E$71,$A28+(0)),"")</f>
        <v>0.900360144057623</v>
      </c>
      <c r="I28" s="25" t="n">
        <f aca="false">IF(AND($A28+(12)&gt;=1,$A28+(12)&lt;=$B$8),INDEX($E$12:$E$71,$A28+(12)),"")</f>
        <v>0.85171102661597</v>
      </c>
      <c r="J28" s="25" t="n">
        <f aca="false">IF(AND($A28+(24)&gt;=1,$A28+(24)&lt;=$B$8),INDEX($E$12:$E$71,$A28+(24)),"")</f>
        <v>0.916868442292171</v>
      </c>
      <c r="K28" s="25" t="n">
        <f aca="false">IF(SUMPRODUCT(Bobot_Filter!$B$38:$F$38,ISNUMBER(F28:J28)*1)&gt;0,SUMPRODUCT(Bobot_Filter!$B$38:$F$38,F28:J28)/SUMPRODUCT(Bobot_Filter!$B$38:$F$38,ISNUMBER(F28:J28)*1),"")</f>
        <v>0.886895154616163</v>
      </c>
      <c r="L28" s="25" t="n">
        <f aca="false">IF(AND($A28&gt;=$B$6,$A28&lt;=$B$7),SUMPRODUCT(Bobot_Filter!$B$4:$B$16,K22:K34),"")</f>
        <v>1.0025278471824</v>
      </c>
      <c r="M28" s="25" t="n">
        <f aca="false">K28/INDEX($L$12:$L$71,MAX($B$6,MIN($A28,$B$7)))</f>
        <v>0.884658872178743</v>
      </c>
      <c r="N28" s="27" t="n">
        <f aca="false">C28/M28</f>
        <v>282.594803332836</v>
      </c>
      <c r="O28" s="27" t="n">
        <f aca="false">IF(AND($A28&gt;=$B$6,$A28&lt;=$B$7),SUMPRODUCT(Bobot_Filter!$B$20:$B$32,N22:N34),"")</f>
        <v>275.869953648587</v>
      </c>
      <c r="P28" s="25" t="n">
        <f aca="false">IF(ISNUMBER(O28),C28/O28,"")</f>
        <v>0.906224098324454</v>
      </c>
      <c r="Q28" s="25" t="str">
        <f aca="false">IF(AND($A28+(-36)&gt;=1,$A28+(-36)&lt;=$B$8),INDEX($P$12:$P$71,$A28+(-36)),"")</f>
        <v/>
      </c>
      <c r="R28" s="25" t="str">
        <f aca="false">IF(AND($A28+(-24)&gt;=1,$A28+(-24)&lt;=$B$8),INDEX($P$12:$P$71,$A28+(-24)),"")</f>
        <v/>
      </c>
      <c r="S28" s="25" t="str">
        <f aca="false">IF(AND($A28+(-12)&gt;=1,$A28+(-12)&lt;=$B$8),INDEX($P$12:$P$71,$A28+(-12)),"")</f>
        <v/>
      </c>
      <c r="T28" s="25" t="n">
        <f aca="false">IF(AND($A28+(0)&gt;=1,$A28+(0)&lt;=$B$8),INDEX($P$12:$P$71,$A28+(0)),"")</f>
        <v>0.906224098324454</v>
      </c>
      <c r="U28" s="25" t="n">
        <f aca="false">IF(AND($A28+(12)&gt;=1,$A28+(12)&lt;=$B$8),INDEX($P$12:$P$71,$A28+(12)),"")</f>
        <v>0.859196049380856</v>
      </c>
      <c r="V28" s="25" t="n">
        <f aca="false">IF(AND($A28+(24)&gt;=1,$A28+(24)&lt;=$B$8),INDEX($P$12:$P$71,$A28+(24)),"")</f>
        <v>0.917866714886047</v>
      </c>
      <c r="W28" s="25" t="n">
        <f aca="false">IF(AND($A28+(36)&gt;=1,$A28+(36)&lt;=$B$8),INDEX($P$12:$P$71,$A28+(36)),"")</f>
        <v>0.853106743420156</v>
      </c>
      <c r="X28" s="25" t="n">
        <f aca="false">IF(SUMPRODUCT(Bobot_Filter!$B$43:$H$43,ISNUMBER(Q28:W28)*1)&gt;0,SUMPRODUCT(Bobot_Filter!$B$43:$H$43,Q28:W28)/SUMPRODUCT(Bobot_Filter!$B$43:$H$43,ISNUMBER(Q28:W28)*1),"")</f>
        <v>0.88723340181202</v>
      </c>
      <c r="Y28" s="25" t="n">
        <f aca="false">IF(AND($A28&gt;=$B$6,$A28&lt;=$B$7),SUMPRODUCT(Bobot_Filter!$B$4:$B$16,X22:X34),"")</f>
        <v>1.00126897374107</v>
      </c>
      <c r="Z28" s="33" t="n">
        <f aca="false">X28/INDEX($Y$12:$Y$71,MAX($B$6,MIN($A28,$B$7)))</f>
        <v>0.886108952819165</v>
      </c>
      <c r="AA28" s="27" t="n">
        <f aca="false">C28/Z28</f>
        <v>282.132348628938</v>
      </c>
      <c r="AB28" s="27" t="n">
        <f aca="false">IF(AND($A28&gt;=$B$6,$A28&lt;=$B$7),SUMPRODUCT(Bobot_Filter!$B$20:$B$32,AA22:AA34),"")</f>
        <v>275.74520244312</v>
      </c>
      <c r="AC28" s="25" t="n">
        <f aca="false">IF(ISNUMBER(AB28),AA28/AB28,"")</f>
        <v>1.02316321781568</v>
      </c>
      <c r="AD28" s="27" t="n">
        <f aca="false">$B$4+$B$3*A28</f>
        <v>275.820931689286</v>
      </c>
      <c r="AE28" s="27" t="n">
        <f aca="false">AD28*Z28</f>
        <v>244.407396944799</v>
      </c>
      <c r="AF28" s="28" t="n">
        <f aca="false">ABS(C28-AE28)/C28</f>
        <v>0.0223704122208035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Data!D22</f>
        <v>264</v>
      </c>
      <c r="D29" s="27" t="n">
        <f aca="false">IF(AND($A29&gt;=$B$6,$A29&lt;=$B$7),SUMPRODUCT(Bobot_Filter!$B$4:$B$16,C23:C35),"")</f>
        <v>276.75</v>
      </c>
      <c r="E29" s="25" t="n">
        <f aca="false">IF(ISNUMBER(D29),C29/D29,"")</f>
        <v>0.953929539295393</v>
      </c>
      <c r="F29" s="25" t="str">
        <f aca="false">IF(AND($A29+(-24)&gt;=1,$A29+(-24)&lt;=$B$8),INDEX($E$12:$E$71,$A29+(-24)),"")</f>
        <v/>
      </c>
      <c r="G29" s="25" t="str">
        <f aca="false">IF(AND($A29+(-12)&gt;=1,$A29+(-12)&lt;=$B$8),INDEX($E$12:$E$71,$A29+(-12)),"")</f>
        <v/>
      </c>
      <c r="H29" s="25" t="n">
        <f aca="false">IF(AND($A29+(0)&gt;=1,$A29+(0)&lt;=$B$8),INDEX($E$12:$E$71,$A29+(0)),"")</f>
        <v>0.953929539295393</v>
      </c>
      <c r="I29" s="25" t="n">
        <f aca="false">IF(AND($A29+(12)&gt;=1,$A29+(12)&lt;=$B$8),INDEX($E$12:$E$71,$A29+(12)),"")</f>
        <v>0.920214265576544</v>
      </c>
      <c r="J29" s="25" t="n">
        <f aca="false">IF(AND($A29+(24)&gt;=1,$A29+(24)&lt;=$B$8),INDEX($E$12:$E$71,$A29+(24)),"")</f>
        <v>0.881619520042901</v>
      </c>
      <c r="K29" s="25" t="n">
        <f aca="false">IF(SUMPRODUCT(Bobot_Filter!$B$38:$F$38,ISNUMBER(F29:J29)*1)&gt;0,SUMPRODUCT(Bobot_Filter!$B$38:$F$38,F29:J29)/SUMPRODUCT(Bobot_Filter!$B$38:$F$38,ISNUMBER(F29:J29)*1),"")</f>
        <v>0.930639444847028</v>
      </c>
      <c r="L29" s="25" t="n">
        <f aca="false">IF(AND($A29&gt;=$B$6,$A29&lt;=$B$7),SUMPRODUCT(Bobot_Filter!$B$4:$B$16,K23:K35),"")</f>
        <v>0.99888561436865</v>
      </c>
      <c r="M29" s="25" t="n">
        <f aca="false">K29/INDEX($L$12:$L$71,MAX($B$6,MIN($A29,$B$7)))</f>
        <v>0.931677693081247</v>
      </c>
      <c r="N29" s="27" t="n">
        <f aca="false">C29/M29</f>
        <v>283.359794873803</v>
      </c>
      <c r="O29" s="27" t="n">
        <f aca="false">IF(AND($A29&gt;=$B$6,$A29&lt;=$B$7),SUMPRODUCT(Bobot_Filter!$B$20:$B$32,N23:N35),"")</f>
        <v>276.763709559991</v>
      </c>
      <c r="P29" s="25" t="n">
        <f aca="false">IF(ISNUMBER(O29),C29/O29,"")</f>
        <v>0.953882286155641</v>
      </c>
      <c r="Q29" s="25" t="str">
        <f aca="false">IF(AND($A29+(-36)&gt;=1,$A29+(-36)&lt;=$B$8),INDEX($P$12:$P$71,$A29+(-36)),"")</f>
        <v/>
      </c>
      <c r="R29" s="25" t="str">
        <f aca="false">IF(AND($A29+(-24)&gt;=1,$A29+(-24)&lt;=$B$8),INDEX($P$12:$P$71,$A29+(-24)),"")</f>
        <v/>
      </c>
      <c r="S29" s="25" t="str">
        <f aca="false">IF(AND($A29+(-12)&gt;=1,$A29+(-12)&lt;=$B$8),INDEX($P$12:$P$71,$A29+(-12)),"")</f>
        <v/>
      </c>
      <c r="T29" s="25" t="n">
        <f aca="false">IF(AND($A29+(0)&gt;=1,$A29+(0)&lt;=$B$8),INDEX($P$12:$P$71,$A29+(0)),"")</f>
        <v>0.953882286155641</v>
      </c>
      <c r="U29" s="25" t="n">
        <f aca="false">IF(AND($A29+(12)&gt;=1,$A29+(12)&lt;=$B$8),INDEX($P$12:$P$71,$A29+(12)),"")</f>
        <v>0.920120502119935</v>
      </c>
      <c r="V29" s="25" t="n">
        <f aca="false">IF(AND($A29+(24)&gt;=1,$A29+(24)&lt;=$B$8),INDEX($P$12:$P$71,$A29+(24)),"")</f>
        <v>0.875464314911227</v>
      </c>
      <c r="W29" s="25" t="n">
        <f aca="false">IF(AND($A29+(36)&gt;=1,$A29+(36)&lt;=$B$8),INDEX($P$12:$P$71,$A29+(36)),"")</f>
        <v>0.933509169790779</v>
      </c>
      <c r="X29" s="25" t="n">
        <f aca="false">IF(SUMPRODUCT(Bobot_Filter!$B$43:$H$43,ISNUMBER(Q29:W29)*1)&gt;0,SUMPRODUCT(Bobot_Filter!$B$43:$H$43,Q29:W29)/SUMPRODUCT(Bobot_Filter!$B$43:$H$43,ISNUMBER(Q29:W29)*1),"")</f>
        <v>0.922938462715551</v>
      </c>
      <c r="Y29" s="25" t="n">
        <f aca="false">IF(AND($A29&gt;=$B$6,$A29&lt;=$B$7),SUMPRODUCT(Bobot_Filter!$B$4:$B$16,X23:X35),"")</f>
        <v>0.999843080895868</v>
      </c>
      <c r="Z29" s="33" t="n">
        <f aca="false">X29/INDEX($Y$12:$Y$71,MAX($B$6,MIN($A29,$B$7)))</f>
        <v>0.923083312121929</v>
      </c>
      <c r="AA29" s="27" t="n">
        <f aca="false">C29/Z29</f>
        <v>285.99802047459</v>
      </c>
      <c r="AB29" s="27" t="n">
        <f aca="false">IF(AND($A29&gt;=$B$6,$A29&lt;=$B$7),SUMPRODUCT(Bobot_Filter!$B$20:$B$32,AA23:AA35),"")</f>
        <v>277.095814330861</v>
      </c>
      <c r="AC29" s="25" t="n">
        <f aca="false">IF(ISNUMBER(AB29),AA29/AB29,"")</f>
        <v>1.0321268156476</v>
      </c>
      <c r="AD29" s="27" t="n">
        <f aca="false">$B$4+$B$3*A29</f>
        <v>277.370001308161</v>
      </c>
      <c r="AE29" s="27" t="n">
        <f aca="false">AD29*Z29</f>
        <v>256.0356194908</v>
      </c>
      <c r="AF29" s="28" t="n">
        <f aca="false">ABS(C29-AE29)/C29</f>
        <v>0.0301681079893922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Data!D23</f>
        <v>320</v>
      </c>
      <c r="D30" s="27" t="n">
        <f aca="false">IF(AND($A30&gt;=$B$6,$A30&lt;=$B$7),SUMPRODUCT(Bobot_Filter!$B$4:$B$16,C24:C36),"")</f>
        <v>276.458333333333</v>
      </c>
      <c r="E30" s="25" t="n">
        <f aca="false">IF(ISNUMBER(D30),C30/D30,"")</f>
        <v>1.15749811605124</v>
      </c>
      <c r="F30" s="25" t="str">
        <f aca="false">IF(AND($A30+(-24)&gt;=1,$A30+(-24)&lt;=$B$8),INDEX($E$12:$E$71,$A30+(-24)),"")</f>
        <v/>
      </c>
      <c r="G30" s="25" t="n">
        <f aca="false">IF(AND($A30+(-12)&gt;=1,$A30+(-12)&lt;=$B$8),INDEX($E$12:$E$71,$A30+(-12)),"")</f>
        <v>1.1337400281558</v>
      </c>
      <c r="H30" s="25" t="n">
        <f aca="false">IF(AND($A30+(0)&gt;=1,$A30+(0)&lt;=$B$8),INDEX($E$12:$E$71,$A30+(0)),"")</f>
        <v>1.15749811605124</v>
      </c>
      <c r="I30" s="25" t="n">
        <f aca="false">IF(AND($A30+(12)&gt;=1,$A30+(12)&lt;=$B$8),INDEX($E$12:$E$71,$A30+(12)),"")</f>
        <v>1.07588532883643</v>
      </c>
      <c r="J30" s="25" t="n">
        <f aca="false">IF(AND($A30+(24)&gt;=1,$A30+(24)&lt;=$B$8),INDEX($E$12:$E$71,$A30+(24)),"")</f>
        <v>1.08626198083067</v>
      </c>
      <c r="K30" s="25" t="n">
        <f aca="false">IF(SUMPRODUCT(Bobot_Filter!$B$38:$F$38,ISNUMBER(F30:J30)*1)&gt;0,SUMPRODUCT(Bobot_Filter!$B$38:$F$38,F30:J30)/SUMPRODUCT(Bobot_Filter!$B$38:$F$38,ISNUMBER(F30:J30)*1),"")</f>
        <v>1.12225088037111</v>
      </c>
      <c r="L30" s="25" t="n">
        <f aca="false">IF(AND($A30&gt;=$B$6,$A30&lt;=$B$7),SUMPRODUCT(Bobot_Filter!$B$4:$B$16,K24:K36),"")</f>
        <v>0.997459089685312</v>
      </c>
      <c r="M30" s="25" t="n">
        <f aca="false">K30/INDEX($L$12:$L$71,MAX($B$6,MIN($A30,$B$7)))</f>
        <v>1.12510968317023</v>
      </c>
      <c r="N30" s="27" t="n">
        <f aca="false">C30/M30</f>
        <v>284.416714909372</v>
      </c>
      <c r="O30" s="27" t="n">
        <f aca="false">IF(AND($A30&gt;=$B$6,$A30&lt;=$B$7),SUMPRODUCT(Bobot_Filter!$B$20:$B$32,N24:N36),"")</f>
        <v>276.913115258741</v>
      </c>
      <c r="P30" s="25" t="n">
        <f aca="false">IF(ISNUMBER(O30),C30/O30,"")</f>
        <v>1.15559712547743</v>
      </c>
      <c r="Q30" s="25" t="str">
        <f aca="false">IF(AND($A30+(-36)&gt;=1,$A30+(-36)&lt;=$B$8),INDEX($P$12:$P$71,$A30+(-36)),"")</f>
        <v/>
      </c>
      <c r="R30" s="25" t="str">
        <f aca="false">IF(AND($A30+(-24)&gt;=1,$A30+(-24)&lt;=$B$8),INDEX($P$12:$P$71,$A30+(-24)),"")</f>
        <v/>
      </c>
      <c r="S30" s="25" t="n">
        <f aca="false">IF(AND($A30+(-12)&gt;=1,$A30+(-12)&lt;=$B$8),INDEX($P$12:$P$71,$A30+(-12)),"")</f>
        <v>1.12921264960641</v>
      </c>
      <c r="T30" s="25" t="n">
        <f aca="false">IF(AND($A30+(0)&gt;=1,$A30+(0)&lt;=$B$8),INDEX($P$12:$P$71,$A30+(0)),"")</f>
        <v>1.15559712547743</v>
      </c>
      <c r="U30" s="25" t="n">
        <f aca="false">IF(AND($A30+(12)&gt;=1,$A30+(12)&lt;=$B$8),INDEX($P$12:$P$71,$A30+(12)),"")</f>
        <v>1.06908151333573</v>
      </c>
      <c r="V30" s="25" t="n">
        <f aca="false">IF(AND($A30+(24)&gt;=1,$A30+(24)&lt;=$B$8),INDEX($P$12:$P$71,$A30+(24)),"")</f>
        <v>1.07652151167566</v>
      </c>
      <c r="W30" s="25" t="str">
        <f aca="false">IF(AND($A30+(36)&gt;=1,$A30+(36)&lt;=$B$8),INDEX($P$12:$P$71,$A30+(36)),"")</f>
        <v/>
      </c>
      <c r="X30" s="25" t="n">
        <f aca="false">IF(SUMPRODUCT(Bobot_Filter!$B$43:$H$43,ISNUMBER(Q30:W30)*1)&gt;0,SUMPRODUCT(Bobot_Filter!$B$43:$H$43,Q30:W30)/SUMPRODUCT(Bobot_Filter!$B$43:$H$43,ISNUMBER(Q30:W30)*1),"")</f>
        <v>1.11042880805546</v>
      </c>
      <c r="Y30" s="25" t="n">
        <f aca="false">IF(AND($A30&gt;=$B$6,$A30&lt;=$B$7),SUMPRODUCT(Bobot_Filter!$B$4:$B$16,X24:X36),"")</f>
        <v>0.999508333359757</v>
      </c>
      <c r="Z30" s="33" t="n">
        <f aca="false">X30/INDEX($Y$12:$Y$71,MAX($B$6,MIN($A30,$B$7)))</f>
        <v>1.1109750374195</v>
      </c>
      <c r="AA30" s="27" t="n">
        <f aca="false">C30/Z30</f>
        <v>288.03527462082</v>
      </c>
      <c r="AB30" s="27" t="n">
        <f aca="false">IF(AND($A30&gt;=$B$6,$A30&lt;=$B$7),SUMPRODUCT(Bobot_Filter!$B$20:$B$32,AA24:AA36),"")</f>
        <v>277.278337736369</v>
      </c>
      <c r="AC30" s="25" t="n">
        <f aca="false">IF(ISNUMBER(AB30),AA30/AB30,"")</f>
        <v>1.03879472508479</v>
      </c>
      <c r="AD30" s="27" t="n">
        <f aca="false">$B$4+$B$3*A30</f>
        <v>278.919070927036</v>
      </c>
      <c r="AE30" s="27" t="n">
        <f aca="false">AD30*Z30</f>
        <v>309.872125260174</v>
      </c>
      <c r="AF30" s="28" t="n">
        <f aca="false">ABS(C30-AE30)/C30</f>
        <v>0.0316496085619548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Data!D24</f>
        <v>278</v>
      </c>
      <c r="D31" s="27" t="n">
        <f aca="false">IF(AND($A31&gt;=$B$6,$A31&lt;=$B$7),SUMPRODUCT(Bobot_Filter!$B$4:$B$16,C25:C37),"")</f>
        <v>279.083333333333</v>
      </c>
      <c r="E31" s="25" t="n">
        <f aca="false">IF(ISNUMBER(D31),C31/D31,"")</f>
        <v>0.996118244252016</v>
      </c>
      <c r="F31" s="25" t="str">
        <f aca="false">IF(AND($A31+(-24)&gt;=1,$A31+(-24)&lt;=$B$8),INDEX($E$12:$E$71,$A31+(-24)),"")</f>
        <v/>
      </c>
      <c r="G31" s="25" t="n">
        <f aca="false">IF(AND($A31+(-12)&gt;=1,$A31+(-12)&lt;=$B$8),INDEX($E$12:$E$71,$A31+(-12)),"")</f>
        <v>1.07613264829519</v>
      </c>
      <c r="H31" s="25" t="n">
        <f aca="false">IF(AND($A31+(0)&gt;=1,$A31+(0)&lt;=$B$8),INDEX($E$12:$E$71,$A31+(0)),"")</f>
        <v>0.996118244252016</v>
      </c>
      <c r="I31" s="25" t="n">
        <f aca="false">IF(AND($A31+(12)&gt;=1,$A31+(12)&lt;=$B$8),INDEX($E$12:$E$71,$A31+(12)),"")</f>
        <v>1.12996898787708</v>
      </c>
      <c r="J31" s="25" t="n">
        <f aca="false">IF(AND($A31+(24)&gt;=1,$A31+(24)&lt;=$B$8),INDEX($E$12:$E$71,$A31+(24)),"")</f>
        <v>1.10460251046025</v>
      </c>
      <c r="K31" s="25" t="n">
        <f aca="false">IF(SUMPRODUCT(Bobot_Filter!$B$38:$F$38,ISNUMBER(F31:J31)*1)&gt;0,SUMPRODUCT(Bobot_Filter!$B$38:$F$38,F31:J31)/SUMPRODUCT(Bobot_Filter!$B$38:$F$38,ISNUMBER(F31:J31)*1),"")</f>
        <v>1.0631450644451</v>
      </c>
      <c r="L31" s="25" t="n">
        <f aca="false">IF(AND($A31&gt;=$B$6,$A31&lt;=$B$7),SUMPRODUCT(Bobot_Filter!$B$4:$B$16,K25:K37),"")</f>
        <v>0.998529799726449</v>
      </c>
      <c r="M31" s="25" t="n">
        <f aca="false">K31/INDEX($L$12:$L$71,MAX($B$6,MIN($A31,$B$7)))</f>
        <v>1.06471040196933</v>
      </c>
      <c r="N31" s="27" t="n">
        <f aca="false">C31/M31</f>
        <v>261.103864004521</v>
      </c>
      <c r="O31" s="27" t="n">
        <f aca="false">IF(AND($A31&gt;=$B$6,$A31&lt;=$B$7),SUMPRODUCT(Bobot_Filter!$B$20:$B$32,N25:N37),"")</f>
        <v>276.327703385778</v>
      </c>
      <c r="P31" s="25" t="n">
        <f aca="false">IF(ISNUMBER(O31),C31/O31,"")</f>
        <v>1.00605186014189</v>
      </c>
      <c r="Q31" s="25" t="str">
        <f aca="false">IF(AND($A31+(-36)&gt;=1,$A31+(-36)&lt;=$B$8),INDEX($P$12:$P$71,$A31+(-36)),"")</f>
        <v/>
      </c>
      <c r="R31" s="25" t="str">
        <f aca="false">IF(AND($A31+(-24)&gt;=1,$A31+(-24)&lt;=$B$8),INDEX($P$12:$P$71,$A31+(-24)),"")</f>
        <v/>
      </c>
      <c r="S31" s="25" t="n">
        <f aca="false">IF(AND($A31+(-12)&gt;=1,$A31+(-12)&lt;=$B$8),INDEX($P$12:$P$71,$A31+(-12)),"")</f>
        <v>1.08330543660651</v>
      </c>
      <c r="T31" s="25" t="n">
        <f aca="false">IF(AND($A31+(0)&gt;=1,$A31+(0)&lt;=$B$8),INDEX($P$12:$P$71,$A31+(0)),"")</f>
        <v>1.00605186014189</v>
      </c>
      <c r="U31" s="25" t="n">
        <f aca="false">IF(AND($A31+(12)&gt;=1,$A31+(12)&lt;=$B$8),INDEX($P$12:$P$71,$A31+(12)),"")</f>
        <v>1.10820549559171</v>
      </c>
      <c r="V31" s="25" t="n">
        <f aca="false">IF(AND($A31+(24)&gt;=1,$A31+(24)&lt;=$B$8),INDEX($P$12:$P$71,$A31+(24)),"")</f>
        <v>1.10836608170094</v>
      </c>
      <c r="W31" s="25" t="str">
        <f aca="false">IF(AND($A31+(36)&gt;=1,$A31+(36)&lt;=$B$8),INDEX($P$12:$P$71,$A31+(36)),"")</f>
        <v/>
      </c>
      <c r="X31" s="25" t="n">
        <f aca="false">IF(SUMPRODUCT(Bobot_Filter!$B$43:$H$43,ISNUMBER(Q31:W31)*1)&gt;0,SUMPRODUCT(Bobot_Filter!$B$43:$H$43,Q31:W31)/SUMPRODUCT(Bobot_Filter!$B$43:$H$43,ISNUMBER(Q31:W31)*1),"")</f>
        <v>1.07358368549293</v>
      </c>
      <c r="Y31" s="25" t="n">
        <f aca="false">IF(AND($A31&gt;=$B$6,$A31&lt;=$B$7),SUMPRODUCT(Bobot_Filter!$B$4:$B$16,X25:X37),"")</f>
        <v>0.999743194192397</v>
      </c>
      <c r="Z31" s="33" t="n">
        <f aca="false">X31/INDEX($Y$12:$Y$71,MAX($B$6,MIN($A31,$B$7)))</f>
        <v>1.07385945883851</v>
      </c>
      <c r="AA31" s="27" t="n">
        <f aca="false">C31/Z31</f>
        <v>258.879313965988</v>
      </c>
      <c r="AB31" s="27" t="n">
        <f aca="false">IF(AND($A31&gt;=$B$6,$A31&lt;=$B$7),SUMPRODUCT(Bobot_Filter!$B$20:$B$32,AA25:AA37),"")</f>
        <v>276.246013854148</v>
      </c>
      <c r="AC31" s="25" t="n">
        <f aca="false">IF(ISNUMBER(AB31),AA31/AB31,"")</f>
        <v>0.937133210916375</v>
      </c>
      <c r="AD31" s="27" t="n">
        <f aca="false">$B$4+$B$3*A31</f>
        <v>280.468140545911</v>
      </c>
      <c r="AE31" s="27" t="n">
        <f aca="false">AD31*Z31</f>
        <v>301.183365628074</v>
      </c>
      <c r="AF31" s="28" t="n">
        <f aca="false">ABS(C31-AE31)/C31</f>
        <v>0.0833934015398362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Data!D25</f>
        <v>254</v>
      </c>
      <c r="D32" s="27" t="n">
        <f aca="false">IF(AND($A32&gt;=$B$6,$A32&lt;=$B$7),SUMPRODUCT(Bobot_Filter!$B$4:$B$16,C26:C38),"")</f>
        <v>280.875</v>
      </c>
      <c r="E32" s="25" t="n">
        <f aca="false">IF(ISNUMBER(D32),C32/D32,"")</f>
        <v>0.904316866933689</v>
      </c>
      <c r="F32" s="25" t="str">
        <f aca="false">IF(AND($A32+(-24)&gt;=1,$A32+(-24)&lt;=$B$8),INDEX($E$12:$E$71,$A32+(-24)),"")</f>
        <v/>
      </c>
      <c r="G32" s="25" t="n">
        <f aca="false">IF(AND($A32+(-12)&gt;=1,$A32+(-12)&lt;=$B$8),INDEX($E$12:$E$71,$A32+(-12)),"")</f>
        <v>0.905380333951763</v>
      </c>
      <c r="H32" s="25" t="n">
        <f aca="false">IF(AND($A32+(0)&gt;=1,$A32+(0)&lt;=$B$8),INDEX($E$12:$E$71,$A32+(0)),"")</f>
        <v>0.904316866933689</v>
      </c>
      <c r="I32" s="25" t="n">
        <f aca="false">IF(AND($A32+(12)&gt;=1,$A32+(12)&lt;=$B$8),INDEX($E$12:$E$71,$A32+(12)),"")</f>
        <v>0.959594537519358</v>
      </c>
      <c r="J32" s="25" t="n">
        <f aca="false">IF(AND($A32+(24)&gt;=1,$A32+(24)&lt;=$B$8),INDEX($E$12:$E$71,$A32+(24)),"")</f>
        <v>0.909864603481625</v>
      </c>
      <c r="K32" s="25" t="n">
        <f aca="false">IF(SUMPRODUCT(Bobot_Filter!$B$38:$F$38,ISNUMBER(F32:J32)*1)&gt;0,SUMPRODUCT(Bobot_Filter!$B$38:$F$38,F32:J32)/SUMPRODUCT(Bobot_Filter!$B$38:$F$38,ISNUMBER(F32:J32)*1),"")</f>
        <v>0.919095618403117</v>
      </c>
      <c r="L32" s="25" t="n">
        <f aca="false">IF(AND($A32&gt;=$B$6,$A32&lt;=$B$7),SUMPRODUCT(Bobot_Filter!$B$4:$B$16,K26:K38),"")</f>
        <v>0.999216744786207</v>
      </c>
      <c r="M32" s="25" t="n">
        <f aca="false">K32/INDEX($L$12:$L$71,MAX($B$6,MIN($A32,$B$7)))</f>
        <v>0.919816069134998</v>
      </c>
      <c r="N32" s="27" t="n">
        <f aca="false">C32/M32</f>
        <v>276.142164203397</v>
      </c>
      <c r="O32" s="27" t="n">
        <f aca="false">IF(AND($A32&gt;=$B$6,$A32&lt;=$B$7),SUMPRODUCT(Bobot_Filter!$B$20:$B$32,N26:N38),"")</f>
        <v>276.759363914339</v>
      </c>
      <c r="P32" s="25" t="n">
        <f aca="false">IF(ISNUMBER(O32),C32/O32,"")</f>
        <v>0.917764791794422</v>
      </c>
      <c r="Q32" s="25" t="str">
        <f aca="false">IF(AND($A32+(-36)&gt;=1,$A32+(-36)&lt;=$B$8),INDEX($P$12:$P$71,$A32+(-36)),"")</f>
        <v/>
      </c>
      <c r="R32" s="25" t="str">
        <f aca="false">IF(AND($A32+(-24)&gt;=1,$A32+(-24)&lt;=$B$8),INDEX($P$12:$P$71,$A32+(-24)),"")</f>
        <v/>
      </c>
      <c r="S32" s="25" t="n">
        <f aca="false">IF(AND($A32+(-12)&gt;=1,$A32+(-12)&lt;=$B$8),INDEX($P$12:$P$71,$A32+(-12)),"")</f>
        <v>0.918629889117625</v>
      </c>
      <c r="T32" s="25" t="n">
        <f aca="false">IF(AND($A32+(0)&gt;=1,$A32+(0)&lt;=$B$8),INDEX($P$12:$P$71,$A32+(0)),"")</f>
        <v>0.917764791794422</v>
      </c>
      <c r="U32" s="25" t="n">
        <f aca="false">IF(AND($A32+(12)&gt;=1,$A32+(12)&lt;=$B$8),INDEX($P$12:$P$71,$A32+(12)),"")</f>
        <v>0.93867106849459</v>
      </c>
      <c r="V32" s="25" t="n">
        <f aca="false">IF(AND($A32+(24)&gt;=1,$A32+(24)&lt;=$B$8),INDEX($P$12:$P$71,$A32+(24)),"")</f>
        <v>0.919423367006354</v>
      </c>
      <c r="W32" s="25" t="str">
        <f aca="false">IF(AND($A32+(36)&gt;=1,$A32+(36)&lt;=$B$8),INDEX($P$12:$P$71,$A32+(36)),"")</f>
        <v/>
      </c>
      <c r="X32" s="25" t="n">
        <f aca="false">IF(SUMPRODUCT(Bobot_Filter!$B$43:$H$43,ISNUMBER(Q32:W32)*1)&gt;0,SUMPRODUCT(Bobot_Filter!$B$43:$H$43,Q32:W32)/SUMPRODUCT(Bobot_Filter!$B$43:$H$43,ISNUMBER(Q32:W32)*1),"")</f>
        <v>0.924003998384784</v>
      </c>
      <c r="Y32" s="25" t="n">
        <f aca="false">IF(AND($A32&gt;=$B$6,$A32&lt;=$B$7),SUMPRODUCT(Bobot_Filter!$B$4:$B$16,X26:X38),"")</f>
        <v>1.0000299869627</v>
      </c>
      <c r="Z32" s="33" t="n">
        <f aca="false">X32/INDEX($Y$12:$Y$71,MAX($B$6,MIN($A32,$B$7)))</f>
        <v>0.923976291142202</v>
      </c>
      <c r="AA32" s="27" t="n">
        <f aca="false">C32/Z32</f>
        <v>274.8988285035</v>
      </c>
      <c r="AB32" s="27" t="n">
        <f aca="false">IF(AND($A32&gt;=$B$6,$A32&lt;=$B$7),SUMPRODUCT(Bobot_Filter!$B$20:$B$32,AA26:AA38),"")</f>
        <v>276.275625381929</v>
      </c>
      <c r="AC32" s="25" t="n">
        <f aca="false">IF(ISNUMBER(AB32),AA32/AB32,"")</f>
        <v>0.99501658216672</v>
      </c>
      <c r="AD32" s="27" t="n">
        <f aca="false">$B$4+$B$3*A32</f>
        <v>282.017210164786</v>
      </c>
      <c r="AE32" s="27" t="n">
        <f aca="false">AD32*Z32</f>
        <v>260.57721588633</v>
      </c>
      <c r="AF32" s="28" t="n">
        <f aca="false">ABS(C32-AE32)/C32</f>
        <v>0.0258945507335809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Data!D26</f>
        <v>297</v>
      </c>
      <c r="D33" s="27" t="n">
        <f aca="false">IF(AND($A33&gt;=$B$6,$A33&lt;=$B$7),SUMPRODUCT(Bobot_Filter!$B$4:$B$16,C27:C39),"")</f>
        <v>282.541666666667</v>
      </c>
      <c r="E33" s="25" t="n">
        <f aca="false">IF(ISNUMBER(D33),C33/D33,"")</f>
        <v>1.05117239345229</v>
      </c>
      <c r="F33" s="25" t="str">
        <f aca="false">IF(AND($A33+(-24)&gt;=1,$A33+(-24)&lt;=$B$8),INDEX($E$12:$E$71,$A33+(-24)),"")</f>
        <v/>
      </c>
      <c r="G33" s="25" t="n">
        <f aca="false">IF(AND($A33+(-12)&gt;=1,$A33+(-12)&lt;=$B$8),INDEX($E$12:$E$71,$A33+(-12)),"")</f>
        <v>0.909567092897859</v>
      </c>
      <c r="H33" s="25" t="n">
        <f aca="false">IF(AND($A33+(0)&gt;=1,$A33+(0)&lt;=$B$8),INDEX($E$12:$E$71,$A33+(0)),"")</f>
        <v>1.05117239345229</v>
      </c>
      <c r="I33" s="25" t="n">
        <f aca="false">IF(AND($A33+(12)&gt;=1,$A33+(12)&lt;=$B$8),INDEX($E$12:$E$71,$A33+(12)),"")</f>
        <v>1.20352990614932</v>
      </c>
      <c r="J33" s="25" t="n">
        <f aca="false">IF(AND($A33+(24)&gt;=1,$A33+(24)&lt;=$B$8),INDEX($E$12:$E$71,$A33+(24)),"")</f>
        <v>1.24015899474292</v>
      </c>
      <c r="K33" s="25" t="n">
        <f aca="false">IF(SUMPRODUCT(Bobot_Filter!$B$38:$F$38,ISNUMBER(F33:J33)*1)&gt;0,SUMPRODUCT(Bobot_Filter!$B$38:$F$38,F33:J33)/SUMPRODUCT(Bobot_Filter!$B$38:$F$38,ISNUMBER(F33:J33)*1),"")</f>
        <v>1.07748377164927</v>
      </c>
      <c r="L33" s="25" t="n">
        <f aca="false">IF(AND($A33&gt;=$B$6,$A33&lt;=$B$7),SUMPRODUCT(Bobot_Filter!$B$4:$B$16,K27:K39),"")</f>
        <v>0.999652722496934</v>
      </c>
      <c r="M33" s="25" t="n">
        <f aca="false">K33/INDEX($L$12:$L$71,MAX($B$6,MIN($A33,$B$7)))</f>
        <v>1.07785808751456</v>
      </c>
      <c r="N33" s="27" t="n">
        <f aca="false">C33/M33</f>
        <v>275.546478186988</v>
      </c>
      <c r="O33" s="27" t="n">
        <f aca="false">IF(AND($A33&gt;=$B$6,$A33&lt;=$B$7),SUMPRODUCT(Bobot_Filter!$B$20:$B$32,N27:N39),"")</f>
        <v>278.463861591776</v>
      </c>
      <c r="P33" s="25" t="n">
        <f aca="false">IF(ISNUMBER(O33),C33/O33,"")</f>
        <v>1.06656568756271</v>
      </c>
      <c r="Q33" s="25" t="str">
        <f aca="false">IF(AND($A33+(-36)&gt;=1,$A33+(-36)&lt;=$B$8),INDEX($P$12:$P$71,$A33+(-36)),"")</f>
        <v/>
      </c>
      <c r="R33" s="25" t="str">
        <f aca="false">IF(AND($A33+(-24)&gt;=1,$A33+(-24)&lt;=$B$8),INDEX($P$12:$P$71,$A33+(-24)),"")</f>
        <v/>
      </c>
      <c r="S33" s="25" t="n">
        <f aca="false">IF(AND($A33+(-12)&gt;=1,$A33+(-12)&lt;=$B$8),INDEX($P$12:$P$71,$A33+(-12)),"")</f>
        <v>0.919872795552767</v>
      </c>
      <c r="T33" s="25" t="n">
        <f aca="false">IF(AND($A33+(0)&gt;=1,$A33+(0)&lt;=$B$8),INDEX($P$12:$P$71,$A33+(0)),"")</f>
        <v>1.06656568756271</v>
      </c>
      <c r="U33" s="25" t="n">
        <f aca="false">IF(AND($A33+(12)&gt;=1,$A33+(12)&lt;=$B$8),INDEX($P$12:$P$71,$A33+(12)),"")</f>
        <v>1.18899539679348</v>
      </c>
      <c r="V33" s="25" t="n">
        <f aca="false">IF(AND($A33+(24)&gt;=1,$A33+(24)&lt;=$B$8),INDEX($P$12:$P$71,$A33+(24)),"")</f>
        <v>1.2466261354919</v>
      </c>
      <c r="W33" s="25" t="str">
        <f aca="false">IF(AND($A33+(36)&gt;=1,$A33+(36)&lt;=$B$8),INDEX($P$12:$P$71,$A33+(36)),"")</f>
        <v/>
      </c>
      <c r="X33" s="25" t="n">
        <f aca="false">IF(SUMPRODUCT(Bobot_Filter!$B$43:$H$43,ISNUMBER(Q33:W33)*1)&gt;0,SUMPRODUCT(Bobot_Filter!$B$43:$H$43,Q33:W33)/SUMPRODUCT(Bobot_Filter!$B$43:$H$43,ISNUMBER(Q33:W33)*1),"")</f>
        <v>1.09268671915552</v>
      </c>
      <c r="Y33" s="25" t="n">
        <f aca="false">IF(AND($A33&gt;=$B$6,$A33&lt;=$B$7),SUMPRODUCT(Bobot_Filter!$B$4:$B$16,X27:X39),"")</f>
        <v>1.00019822774746</v>
      </c>
      <c r="Z33" s="33" t="n">
        <f aca="false">X33/INDEX($Y$12:$Y$71,MAX($B$6,MIN($A33,$B$7)))</f>
        <v>1.09247016125628</v>
      </c>
      <c r="AA33" s="27" t="n">
        <f aca="false">C33/Z33</f>
        <v>271.860972073109</v>
      </c>
      <c r="AB33" s="27" t="n">
        <f aca="false">IF(AND($A33&gt;=$B$6,$A33&lt;=$B$7),SUMPRODUCT(Bobot_Filter!$B$20:$B$32,AA27:AA39),"")</f>
        <v>277.828365254927</v>
      </c>
      <c r="AC33" s="25" t="n">
        <f aca="false">IF(ISNUMBER(AB33),AA33/AB33,"")</f>
        <v>0.978521296137846</v>
      </c>
      <c r="AD33" s="27" t="n">
        <f aca="false">$B$4+$B$3*A33</f>
        <v>283.566279783661</v>
      </c>
      <c r="AE33" s="27" t="n">
        <f aca="false">AD33*Z33</f>
        <v>309.7876994021</v>
      </c>
      <c r="AF33" s="28" t="n">
        <f aca="false">ABS(C33-AE33)/C33</f>
        <v>0.0430562269430981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Data!D27</f>
        <v>352</v>
      </c>
      <c r="D34" s="27" t="n">
        <f aca="false">IF(AND($A34&gt;=$B$6,$A34&lt;=$B$7),SUMPRODUCT(Bobot_Filter!$B$4:$B$16,C28:C40),"")</f>
        <v>284.25</v>
      </c>
      <c r="E34" s="25" t="n">
        <f aca="false">IF(ISNUMBER(D34),C34/D34,"")</f>
        <v>1.23834652594547</v>
      </c>
      <c r="F34" s="25" t="str">
        <f aca="false">IF(AND($A34+(-24)&gt;=1,$A34+(-24)&lt;=$B$8),INDEX($E$12:$E$71,$A34+(-24)),"")</f>
        <v/>
      </c>
      <c r="G34" s="25" t="n">
        <f aca="false">IF(AND($A34+(-12)&gt;=1,$A34+(-12)&lt;=$B$8),INDEX($E$12:$E$71,$A34+(-12)),"")</f>
        <v>1.28227300802965</v>
      </c>
      <c r="H34" s="25" t="n">
        <f aca="false">IF(AND($A34+(0)&gt;=1,$A34+(0)&lt;=$B$8),INDEX($E$12:$E$71,$A34+(0)),"")</f>
        <v>1.23834652594547</v>
      </c>
      <c r="I34" s="25" t="n">
        <f aca="false">IF(AND($A34+(12)&gt;=1,$A34+(12)&lt;=$B$8),INDEX($E$12:$E$71,$A34+(12)),"")</f>
        <v>1.07327946503204</v>
      </c>
      <c r="J34" s="25" t="n">
        <f aca="false">IF(AND($A34+(24)&gt;=1,$A34+(24)&lt;=$B$8),INDEX($E$12:$E$71,$A34+(24)),"")</f>
        <v>1.08434660181748</v>
      </c>
      <c r="K34" s="25" t="n">
        <f aca="false">IF(SUMPRODUCT(Bobot_Filter!$B$38:$F$38,ISNUMBER(F34:J34)*1)&gt;0,SUMPRODUCT(Bobot_Filter!$B$38:$F$38,F34:J34)/SUMPRODUCT(Bobot_Filter!$B$38:$F$38,ISNUMBER(F34:J34)*1),"")</f>
        <v>1.18881139072216</v>
      </c>
      <c r="L34" s="25" t="n">
        <f aca="false">IF(AND($A34&gt;=$B$6,$A34&lt;=$B$7),SUMPRODUCT(Bobot_Filter!$B$4:$B$16,K28:K40),"")</f>
        <v>0.99984012613141</v>
      </c>
      <c r="M34" s="25" t="n">
        <f aca="false">K34/INDEX($L$12:$L$71,MAX($B$6,MIN($A34,$B$7)))</f>
        <v>1.18900148098868</v>
      </c>
      <c r="N34" s="27" t="n">
        <f aca="false">C34/M34</f>
        <v>296.046729653611</v>
      </c>
      <c r="O34" s="27" t="n">
        <f aca="false">IF(AND($A34&gt;=$B$6,$A34&lt;=$B$7),SUMPRODUCT(Bobot_Filter!$B$20:$B$32,N28:N40),"")</f>
        <v>281.491262965569</v>
      </c>
      <c r="P34" s="25" t="n">
        <f aca="false">IF(ISNUMBER(O34),C34/O34,"")</f>
        <v>1.25048286149846</v>
      </c>
      <c r="Q34" s="25" t="str">
        <f aca="false">IF(AND($A34+(-36)&gt;=1,$A34+(-36)&lt;=$B$8),INDEX($P$12:$P$71,$A34+(-36)),"")</f>
        <v/>
      </c>
      <c r="R34" s="25" t="str">
        <f aca="false">IF(AND($A34+(-24)&gt;=1,$A34+(-24)&lt;=$B$8),INDEX($P$12:$P$71,$A34+(-24)),"")</f>
        <v/>
      </c>
      <c r="S34" s="25" t="n">
        <f aca="false">IF(AND($A34+(-12)&gt;=1,$A34+(-12)&lt;=$B$8),INDEX($P$12:$P$71,$A34+(-12)),"")</f>
        <v>1.27947546752783</v>
      </c>
      <c r="T34" s="25" t="n">
        <f aca="false">IF(AND($A34+(0)&gt;=1,$A34+(0)&lt;=$B$8),INDEX($P$12:$P$71,$A34+(0)),"")</f>
        <v>1.25048286149846</v>
      </c>
      <c r="U34" s="25" t="n">
        <f aca="false">IF(AND($A34+(12)&gt;=1,$A34+(12)&lt;=$B$8),INDEX($P$12:$P$71,$A34+(12)),"")</f>
        <v>1.077578363339</v>
      </c>
      <c r="V34" s="25" t="n">
        <f aca="false">IF(AND($A34+(24)&gt;=1,$A34+(24)&lt;=$B$8),INDEX($P$12:$P$71,$A34+(24)),"")</f>
        <v>1.07812457738207</v>
      </c>
      <c r="W34" s="25" t="str">
        <f aca="false">IF(AND($A34+(36)&gt;=1,$A34+(36)&lt;=$B$8),INDEX($P$12:$P$71,$A34+(36)),"")</f>
        <v/>
      </c>
      <c r="X34" s="25" t="n">
        <f aca="false">IF(SUMPRODUCT(Bobot_Filter!$B$43:$H$43,ISNUMBER(Q34:W34)*1)&gt;0,SUMPRODUCT(Bobot_Filter!$B$43:$H$43,Q34:W34)/SUMPRODUCT(Bobot_Filter!$B$43:$H$43,ISNUMBER(Q34:W34)*1),"")</f>
        <v>1.17989629380545</v>
      </c>
      <c r="Y34" s="25" t="n">
        <f aca="false">IF(AND($A34&gt;=$B$6,$A34&lt;=$B$7),SUMPRODUCT(Bobot_Filter!$B$4:$B$16,X28:X40),"")</f>
        <v>1.00015501839317</v>
      </c>
      <c r="Z34" s="33" t="n">
        <f aca="false">X34/INDEX($Y$12:$Y$71,MAX($B$6,MIN($A34,$B$7)))</f>
        <v>1.17971341652722</v>
      </c>
      <c r="AA34" s="27" t="n">
        <f aca="false">C34/Z34</f>
        <v>298.377550910795</v>
      </c>
      <c r="AB34" s="27" t="n">
        <f aca="false">IF(AND($A34&gt;=$B$6,$A34&lt;=$B$7),SUMPRODUCT(Bobot_Filter!$B$20:$B$32,AA28:AA40),"")</f>
        <v>281.065854902884</v>
      </c>
      <c r="AC34" s="25" t="n">
        <f aca="false">IF(ISNUMBER(AB34),AA34/AB34,"")</f>
        <v>1.06159302421809</v>
      </c>
      <c r="AD34" s="27" t="n">
        <f aca="false">$B$4+$B$3*A34</f>
        <v>285.115349402536</v>
      </c>
      <c r="AE34" s="27" t="n">
        <f aca="false">AD34*Z34</f>
        <v>336.354402948018</v>
      </c>
      <c r="AF34" s="28" t="n">
        <f aca="false">ABS(C34-AE34)/C34</f>
        <v>0.0444477188976752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Data!D28</f>
        <v>261</v>
      </c>
      <c r="D35" s="27" t="n">
        <f aca="false">IF(AND($A35&gt;=$B$6,$A35&lt;=$B$7),SUMPRODUCT(Bobot_Filter!$B$4:$B$16,C29:C41),"")</f>
        <v>284.666666666667</v>
      </c>
      <c r="E35" s="25" t="n">
        <f aca="false">IF(ISNUMBER(D35),C35/D35,"")</f>
        <v>0.916861826697892</v>
      </c>
      <c r="F35" s="25" t="str">
        <f aca="false">IF(AND($A35+(-24)&gt;=1,$A35+(-24)&lt;=$B$8),INDEX($E$12:$E$71,$A35+(-24)),"")</f>
        <v/>
      </c>
      <c r="G35" s="25" t="n">
        <f aca="false">IF(AND($A35+(-12)&gt;=1,$A35+(-12)&lt;=$B$8),INDEX($E$12:$E$71,$A35+(-12)),"")</f>
        <v>1.06756964752963</v>
      </c>
      <c r="H35" s="25" t="n">
        <f aca="false">IF(AND($A35+(0)&gt;=1,$A35+(0)&lt;=$B$8),INDEX($E$12:$E$71,$A35+(0)),"")</f>
        <v>0.916861826697892</v>
      </c>
      <c r="I35" s="25" t="n">
        <f aca="false">IF(AND($A35+(12)&gt;=1,$A35+(12)&lt;=$B$8),INDEX($E$12:$E$71,$A35+(12)),"")</f>
        <v>0.948419301164726</v>
      </c>
      <c r="J35" s="25" t="n">
        <f aca="false">IF(AND($A35+(24)&gt;=1,$A35+(24)&lt;=$B$8),INDEX($E$12:$E$71,$A35+(24)),"")</f>
        <v>0.849828047382499</v>
      </c>
      <c r="K35" s="25" t="n">
        <f aca="false">IF(SUMPRODUCT(Bobot_Filter!$B$38:$F$38,ISNUMBER(F35:J35)*1)&gt;0,SUMPRODUCT(Bobot_Filter!$B$38:$F$38,F35:J35)/SUMPRODUCT(Bobot_Filter!$B$38:$F$38,ISNUMBER(F35:J35)*1),"")</f>
        <v>0.954048928108111</v>
      </c>
      <c r="L35" s="25" t="n">
        <f aca="false">IF(AND($A35&gt;=$B$6,$A35&lt;=$B$7),SUMPRODUCT(Bobot_Filter!$B$4:$B$16,K29:K41),"")</f>
        <v>0.999195882797996</v>
      </c>
      <c r="M35" s="25" t="n">
        <f aca="false">K35/INDEX($L$12:$L$71,MAX($B$6,MIN($A35,$B$7)))</f>
        <v>0.954816712651515</v>
      </c>
      <c r="N35" s="27" t="n">
        <f aca="false">C35/M35</f>
        <v>273.350891895478</v>
      </c>
      <c r="O35" s="27" t="n">
        <f aca="false">IF(AND($A35&gt;=$B$6,$A35&lt;=$B$7),SUMPRODUCT(Bobot_Filter!$B$20:$B$32,N29:N41),"")</f>
        <v>285.319284015077</v>
      </c>
      <c r="P35" s="25" t="n">
        <f aca="false">IF(ISNUMBER(O35),C35/O35,"")</f>
        <v>0.914764667593264</v>
      </c>
      <c r="Q35" s="25" t="str">
        <f aca="false">IF(AND($A35+(-36)&gt;=1,$A35+(-36)&lt;=$B$8),INDEX($P$12:$P$71,$A35+(-36)),"")</f>
        <v/>
      </c>
      <c r="R35" s="25" t="str">
        <f aca="false">IF(AND($A35+(-24)&gt;=1,$A35+(-24)&lt;=$B$8),INDEX($P$12:$P$71,$A35+(-24)),"")</f>
        <v/>
      </c>
      <c r="S35" s="25" t="n">
        <f aca="false">IF(AND($A35+(-12)&gt;=1,$A35+(-12)&lt;=$B$8),INDEX($P$12:$P$71,$A35+(-12)),"")</f>
        <v>1.06089618288648</v>
      </c>
      <c r="T35" s="25" t="n">
        <f aca="false">IF(AND($A35+(0)&gt;=1,$A35+(0)&lt;=$B$8),INDEX($P$12:$P$71,$A35+(0)),"")</f>
        <v>0.914764667593264</v>
      </c>
      <c r="U35" s="25" t="n">
        <f aca="false">IF(AND($A35+(12)&gt;=1,$A35+(12)&lt;=$B$8),INDEX($P$12:$P$71,$A35+(12)),"")</f>
        <v>0.966555176224561</v>
      </c>
      <c r="V35" s="25" t="n">
        <f aca="false">IF(AND($A35+(24)&gt;=1,$A35+(24)&lt;=$B$8),INDEX($P$12:$P$71,$A35+(24)),"")</f>
        <v>0.839750562477375</v>
      </c>
      <c r="W35" s="25" t="str">
        <f aca="false">IF(AND($A35+(36)&gt;=1,$A35+(36)&lt;=$B$8),INDEX($P$12:$P$71,$A35+(36)),"")</f>
        <v/>
      </c>
      <c r="X35" s="25" t="n">
        <f aca="false">IF(SUMPRODUCT(Bobot_Filter!$B$43:$H$43,ISNUMBER(Q35:W35)*1)&gt;0,SUMPRODUCT(Bobot_Filter!$B$43:$H$43,Q35:W35)/SUMPRODUCT(Bobot_Filter!$B$43:$H$43,ISNUMBER(Q35:W35)*1),"")</f>
        <v>0.95510447318797</v>
      </c>
      <c r="Y35" s="25" t="n">
        <f aca="false">IF(AND($A35&gt;=$B$6,$A35&lt;=$B$7),SUMPRODUCT(Bobot_Filter!$B$4:$B$16,X29:X41),"")</f>
        <v>1.0000020002642</v>
      </c>
      <c r="Z35" s="33" t="n">
        <f aca="false">X35/INDEX($Y$12:$Y$71,MAX($B$6,MIN($A35,$B$7)))</f>
        <v>0.955102562730502</v>
      </c>
      <c r="AA35" s="27" t="n">
        <f aca="false">C35/Z35</f>
        <v>273.269081441723</v>
      </c>
      <c r="AB35" s="27" t="n">
        <f aca="false">IF(AND($A35&gt;=$B$6,$A35&lt;=$B$7),SUMPRODUCT(Bobot_Filter!$B$20:$B$32,AA29:AA41),"")</f>
        <v>285.349610951799</v>
      </c>
      <c r="AC35" s="25" t="n">
        <f aca="false">IF(ISNUMBER(AB35),AA35/AB35,"")</f>
        <v>0.95766411080856</v>
      </c>
      <c r="AD35" s="27" t="n">
        <f aca="false">$B$4+$B$3*A35</f>
        <v>286.664419021411</v>
      </c>
      <c r="AE35" s="27" t="n">
        <f aca="false">AD35*Z35</f>
        <v>273.793921251</v>
      </c>
      <c r="AF35" s="28" t="n">
        <f aca="false">ABS(C35-AE35)/C35</f>
        <v>0.0490188553678151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Data!D29</f>
        <v>272</v>
      </c>
      <c r="D36" s="27" t="n">
        <f aca="false">IF(AND($A36&gt;=$B$6,$A36&lt;=$B$7),SUMPRODUCT(Bobot_Filter!$B$4:$B$16,C30:C42),"")</f>
        <v>284.958333333333</v>
      </c>
      <c r="E36" s="25" t="n">
        <f aca="false">IF(ISNUMBER(D36),C36/D36,"")</f>
        <v>0.954525515426232</v>
      </c>
      <c r="F36" s="25" t="str">
        <f aca="false">IF(AND($A36+(-24)&gt;=1,$A36+(-24)&lt;=$B$8),INDEX($E$12:$E$71,$A36+(-24)),"")</f>
        <v/>
      </c>
      <c r="G36" s="25" t="n">
        <f aca="false">IF(AND($A36+(-12)&gt;=1,$A36+(-12)&lt;=$B$8),INDEX($E$12:$E$71,$A36+(-12)),"")</f>
        <v>0.921382685836647</v>
      </c>
      <c r="H36" s="25" t="n">
        <f aca="false">IF(AND($A36+(0)&gt;=1,$A36+(0)&lt;=$B$8),INDEX($E$12:$E$71,$A36+(0)),"")</f>
        <v>0.954525515426232</v>
      </c>
      <c r="I36" s="25" t="n">
        <f aca="false">IF(AND($A36+(12)&gt;=1,$A36+(12)&lt;=$B$8),INDEX($E$12:$E$71,$A36+(12)),"")</f>
        <v>0.895646164478231</v>
      </c>
      <c r="J36" s="25" t="n">
        <f aca="false">IF(AND($A36+(24)&gt;=1,$A36+(24)&lt;=$B$8),INDEX($E$12:$E$71,$A36+(24)),"")</f>
        <v>1.0010111223458</v>
      </c>
      <c r="K36" s="25" t="n">
        <f aca="false">IF(SUMPRODUCT(Bobot_Filter!$B$38:$F$38,ISNUMBER(F36:J36)*1)&gt;0,SUMPRODUCT(Bobot_Filter!$B$38:$F$38,F36:J36)/SUMPRODUCT(Bobot_Filter!$B$38:$F$38,ISNUMBER(F36:J36)*1),"")</f>
        <v>0.937330671156782</v>
      </c>
      <c r="L36" s="25" t="n">
        <f aca="false">IF(AND($A36&gt;=$B$6,$A36&lt;=$B$7),SUMPRODUCT(Bobot_Filter!$B$4:$B$16,K30:K42),"")</f>
        <v>0.998128722272177</v>
      </c>
      <c r="M36" s="25" t="n">
        <f aca="false">K36/INDEX($L$12:$L$71,MAX($B$6,MIN($A36,$B$7)))</f>
        <v>0.939087965551185</v>
      </c>
      <c r="N36" s="27" t="n">
        <f aca="false">C36/M36</f>
        <v>289.642727814485</v>
      </c>
      <c r="O36" s="27" t="n">
        <f aca="false">IF(AND($A36&gt;=$B$6,$A36&lt;=$B$7),SUMPRODUCT(Bobot_Filter!$B$20:$B$32,N30:N42),"")</f>
        <v>288.71748686576</v>
      </c>
      <c r="P36" s="25" t="n">
        <f aca="false">IF(ISNUMBER(O36),C36/O36,"")</f>
        <v>0.942097421783349</v>
      </c>
      <c r="Q36" s="25" t="str">
        <f aca="false">IF(AND($A36+(-36)&gt;=1,$A36+(-36)&lt;=$B$8),INDEX($P$12:$P$71,$A36+(-36)),"")</f>
        <v/>
      </c>
      <c r="R36" s="25" t="str">
        <f aca="false">IF(AND($A36+(-24)&gt;=1,$A36+(-24)&lt;=$B$8),INDEX($P$12:$P$71,$A36+(-24)),"")</f>
        <v/>
      </c>
      <c r="S36" s="25" t="n">
        <f aca="false">IF(AND($A36+(-12)&gt;=1,$A36+(-12)&lt;=$B$8),INDEX($P$12:$P$71,$A36+(-12)),"")</f>
        <v>0.918926826920521</v>
      </c>
      <c r="T36" s="25" t="n">
        <f aca="false">IF(AND($A36+(0)&gt;=1,$A36+(0)&lt;=$B$8),INDEX($P$12:$P$71,$A36+(0)),"")</f>
        <v>0.942097421783349</v>
      </c>
      <c r="U36" s="25" t="n">
        <f aca="false">IF(AND($A36+(12)&gt;=1,$A36+(12)&lt;=$B$8),INDEX($P$12:$P$71,$A36+(12)),"")</f>
        <v>0.917647850236325</v>
      </c>
      <c r="V36" s="25" t="n">
        <f aca="false">IF(AND($A36+(24)&gt;=1,$A36+(24)&lt;=$B$8),INDEX($P$12:$P$71,$A36+(24)),"")</f>
        <v>0.989354482808066</v>
      </c>
      <c r="W36" s="25" t="str">
        <f aca="false">IF(AND($A36+(36)&gt;=1,$A36+(36)&lt;=$B$8),INDEX($P$12:$P$71,$A36+(36)),"")</f>
        <v/>
      </c>
      <c r="X36" s="25" t="n">
        <f aca="false">IF(SUMPRODUCT(Bobot_Filter!$B$43:$H$43,ISNUMBER(Q36:W36)*1)&gt;0,SUMPRODUCT(Bobot_Filter!$B$43:$H$43,Q36:W36)/SUMPRODUCT(Bobot_Filter!$B$43:$H$43,ISNUMBER(Q36:W36)*1),"")</f>
        <v>0.937702296585156</v>
      </c>
      <c r="Y36" s="25" t="n">
        <f aca="false">IF(AND($A36&gt;=$B$6,$A36&lt;=$B$7),SUMPRODUCT(Bobot_Filter!$B$4:$B$16,X30:X42),"")</f>
        <v>0.99966262686019</v>
      </c>
      <c r="Z36" s="33" t="n">
        <f aca="false">X36/INDEX($Y$12:$Y$71,MAX($B$6,MIN($A36,$B$7)))</f>
        <v>0.938018758919054</v>
      </c>
      <c r="AA36" s="27" t="n">
        <f aca="false">C36/Z36</f>
        <v>289.972878914964</v>
      </c>
      <c r="AB36" s="27" t="n">
        <f aca="false">IF(AND($A36&gt;=$B$6,$A36&lt;=$B$7),SUMPRODUCT(Bobot_Filter!$B$20:$B$32,AA30:AA42),"")</f>
        <v>289.092222394177</v>
      </c>
      <c r="AC36" s="25" t="n">
        <f aca="false">IF(ISNUMBER(AB36),AA36/AB36,"")</f>
        <v>1.00304628230222</v>
      </c>
      <c r="AD36" s="27" t="n">
        <f aca="false">$B$4+$B$3*A36</f>
        <v>288.213488640286</v>
      </c>
      <c r="AE36" s="27" t="n">
        <f aca="false">AD36*Z36</f>
        <v>270.349658918092</v>
      </c>
      <c r="AF36" s="28" t="n">
        <f aca="false">ABS(C36-AE36)/C36</f>
        <v>0.00606743044819299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Data!D30</f>
        <v>319</v>
      </c>
      <c r="D37" s="27" t="n">
        <f aca="false">IF(AND($A37&gt;=$B$6,$A37&lt;=$B$7),SUMPRODUCT(Bobot_Filter!$B$4:$B$16,C31:C43),"")</f>
        <v>287.25</v>
      </c>
      <c r="E37" s="25" t="n">
        <f aca="false">IF(ISNUMBER(D37),C37/D37,"")</f>
        <v>1.11053089643168</v>
      </c>
      <c r="F37" s="25" t="str">
        <f aca="false">IF(AND($A37+(-24)&gt;=1,$A37+(-24)&lt;=$B$8),INDEX($E$12:$E$71,$A37+(-24)),"")</f>
        <v/>
      </c>
      <c r="G37" s="25" t="n">
        <f aca="false">IF(AND($A37+(-12)&gt;=1,$A37+(-12)&lt;=$B$8),INDEX($E$12:$E$71,$A37+(-12)),"")</f>
        <v>1.01558203483043</v>
      </c>
      <c r="H37" s="25" t="n">
        <f aca="false">IF(AND($A37+(0)&gt;=1,$A37+(0)&lt;=$B$8),INDEX($E$12:$E$71,$A37+(0)),"")</f>
        <v>1.11053089643168</v>
      </c>
      <c r="I37" s="25" t="n">
        <f aca="false">IF(AND($A37+(12)&gt;=1,$A37+(12)&lt;=$B$8),INDEX($E$12:$E$71,$A37+(12)),"")</f>
        <v>0.9865273577124</v>
      </c>
      <c r="J37" s="25" t="n">
        <f aca="false">IF(AND($A37+(24)&gt;=1,$A37+(24)&lt;=$B$8),INDEX($E$12:$E$71,$A37+(24)),"")</f>
        <v>1.13536016147345</v>
      </c>
      <c r="K37" s="25" t="n">
        <f aca="false">IF(SUMPRODUCT(Bobot_Filter!$B$38:$F$38,ISNUMBER(F37:J37)*1)&gt;0,SUMPRODUCT(Bobot_Filter!$B$38:$F$38,F37:J37)/SUMPRODUCT(Bobot_Filter!$B$38:$F$38,ISNUMBER(F37:J37)*1),"")</f>
        <v>1.05889645448177</v>
      </c>
      <c r="L37" s="25" t="n">
        <f aca="false">IF(AND($A37&gt;=$B$6,$A37&lt;=$B$7),SUMPRODUCT(Bobot_Filter!$B$4:$B$16,K31:K43),"")</f>
        <v>0.998301793997438</v>
      </c>
      <c r="M37" s="25" t="n">
        <f aca="false">K37/INDEX($L$12:$L$71,MAX($B$6,MIN($A37,$B$7)))</f>
        <v>1.06069773774691</v>
      </c>
      <c r="N37" s="27" t="n">
        <f aca="false">C37/M37</f>
        <v>300.745432603265</v>
      </c>
      <c r="O37" s="27" t="n">
        <f aca="false">IF(AND($A37&gt;=$B$6,$A37&lt;=$B$7),SUMPRODUCT(Bobot_Filter!$B$20:$B$32,N31:N43),"")</f>
        <v>290.650391327708</v>
      </c>
      <c r="P37" s="25" t="n">
        <f aca="false">IF(ISNUMBER(O37),C37/O37,"")</f>
        <v>1.09753851884661</v>
      </c>
      <c r="Q37" s="25" t="str">
        <f aca="false">IF(AND($A37+(-36)&gt;=1,$A37+(-36)&lt;=$B$8),INDEX($P$12:$P$71,$A37+(-36)),"")</f>
        <v/>
      </c>
      <c r="R37" s="25" t="str">
        <f aca="false">IF(AND($A37+(-24)&gt;=1,$A37+(-24)&lt;=$B$8),INDEX($P$12:$P$71,$A37+(-24)),"")</f>
        <v/>
      </c>
      <c r="S37" s="25" t="n">
        <f aca="false">IF(AND($A37+(-12)&gt;=1,$A37+(-12)&lt;=$B$8),INDEX($P$12:$P$71,$A37+(-12)),"")</f>
        <v>1.01100801136646</v>
      </c>
      <c r="T37" s="25" t="n">
        <f aca="false">IF(AND($A37+(0)&gt;=1,$A37+(0)&lt;=$B$8),INDEX($P$12:$P$71,$A37+(0)),"")</f>
        <v>1.09753851884661</v>
      </c>
      <c r="U37" s="25" t="n">
        <f aca="false">IF(AND($A37+(12)&gt;=1,$A37+(12)&lt;=$B$8),INDEX($P$12:$P$71,$A37+(12)),"")</f>
        <v>1.00891806386972</v>
      </c>
      <c r="V37" s="25" t="n">
        <f aca="false">IF(AND($A37+(24)&gt;=1,$A37+(24)&lt;=$B$8),INDEX($P$12:$P$71,$A37+(24)),"")</f>
        <v>1.11673472309528</v>
      </c>
      <c r="W37" s="25" t="str">
        <f aca="false">IF(AND($A37+(36)&gt;=1,$A37+(36)&lt;=$B$8),INDEX($P$12:$P$71,$A37+(36)),"")</f>
        <v/>
      </c>
      <c r="X37" s="25" t="n">
        <f aca="false">IF(SUMPRODUCT(Bobot_Filter!$B$43:$H$43,ISNUMBER(Q37:W37)*1)&gt;0,SUMPRODUCT(Bobot_Filter!$B$43:$H$43,Q37:W37)/SUMPRODUCT(Bobot_Filter!$B$43:$H$43,ISNUMBER(Q37:W37)*1),"")</f>
        <v>1.05326029349445</v>
      </c>
      <c r="Y37" s="25" t="n">
        <f aca="false">IF(AND($A37&gt;=$B$6,$A37&lt;=$B$7),SUMPRODUCT(Bobot_Filter!$B$4:$B$16,X31:X43),"")</f>
        <v>0.999557965902476</v>
      </c>
      <c r="Z37" s="33" t="n">
        <f aca="false">X37/INDEX($Y$12:$Y$71,MAX($B$6,MIN($A37,$B$7)))</f>
        <v>1.05372607634964</v>
      </c>
      <c r="AA37" s="27" t="n">
        <f aca="false">C37/Z37</f>
        <v>302.735224229329</v>
      </c>
      <c r="AB37" s="27" t="n">
        <f aca="false">IF(AND($A37&gt;=$B$6,$A37&lt;=$B$7),SUMPRODUCT(Bobot_Filter!$B$20:$B$32,AA31:AA43),"")</f>
        <v>290.947964846555</v>
      </c>
      <c r="AC37" s="25" t="n">
        <f aca="false">IF(ISNUMBER(AB37),AA37/AB37,"")</f>
        <v>1.04051329037132</v>
      </c>
      <c r="AD37" s="27" t="n">
        <f aca="false">$B$4+$B$3*A37</f>
        <v>289.762558259161</v>
      </c>
      <c r="AE37" s="27" t="n">
        <f aca="false">AD37*Z37</f>
        <v>305.33036358746</v>
      </c>
      <c r="AF37" s="28" t="n">
        <f aca="false">ABS(C37-AE37)/C37</f>
        <v>0.0428515248041996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Data!D31</f>
        <v>257</v>
      </c>
      <c r="D38" s="27" t="n">
        <f aca="false">IF(AND($A38&gt;=$B$6,$A38&lt;=$B$7),SUMPRODUCT(Bobot_Filter!$B$4:$B$16,C32:C44),"")</f>
        <v>290.833333333333</v>
      </c>
      <c r="E38" s="25" t="n">
        <f aca="false">IF(ISNUMBER(D38),C38/D38,"")</f>
        <v>0.883667621776504</v>
      </c>
      <c r="F38" s="25" t="str">
        <f aca="false">IF(AND($A38+(-24)&gt;=1,$A38+(-24)&lt;=$B$8),INDEX($E$12:$E$71,$A38+(-24)),"")</f>
        <v/>
      </c>
      <c r="G38" s="25" t="n">
        <f aca="false">IF(AND($A38+(-12)&gt;=1,$A38+(-12)&lt;=$B$8),INDEX($E$12:$E$71,$A38+(-12)),"")</f>
        <v>0.93858845096242</v>
      </c>
      <c r="H38" s="25" t="n">
        <f aca="false">IF(AND($A38+(0)&gt;=1,$A38+(0)&lt;=$B$8),INDEX($E$12:$E$71,$A38+(0)),"")</f>
        <v>0.883667621776504</v>
      </c>
      <c r="I38" s="25" t="n">
        <f aca="false">IF(AND($A38+(12)&gt;=1,$A38+(12)&lt;=$B$8),INDEX($E$12:$E$71,$A38+(12)),"")</f>
        <v>0.940016433853739</v>
      </c>
      <c r="J38" s="25" t="n">
        <f aca="false">IF(AND($A38+(24)&gt;=1,$A38+(24)&lt;=$B$8),INDEX($E$12:$E$71,$A38+(24)),"")</f>
        <v>0.955778894472362</v>
      </c>
      <c r="K38" s="25" t="n">
        <f aca="false">IF(SUMPRODUCT(Bobot_Filter!$B$38:$F$38,ISNUMBER(F38:J38)*1)&gt;0,SUMPRODUCT(Bobot_Filter!$B$38:$F$38,F38:J38)/SUMPRODUCT(Bobot_Filter!$B$38:$F$38,ISNUMBER(F38:J38)*1),"")</f>
        <v>0.920498941179274</v>
      </c>
      <c r="L38" s="25" t="n">
        <f aca="false">IF(AND($A38&gt;=$B$6,$A38&lt;=$B$7),SUMPRODUCT(Bobot_Filter!$B$4:$B$16,K32:K44),"")</f>
        <v>0.99945847392403</v>
      </c>
      <c r="M38" s="25" t="n">
        <f aca="false">K38/INDEX($L$12:$L$71,MAX($B$6,MIN($A38,$B$7)))</f>
        <v>0.920997685441849</v>
      </c>
      <c r="N38" s="27" t="n">
        <f aca="false">C38/M38</f>
        <v>279.045218095965</v>
      </c>
      <c r="O38" s="27" t="n">
        <f aca="false">IF(AND($A38&gt;=$B$6,$A38&lt;=$B$7),SUMPRODUCT(Bobot_Filter!$B$20:$B$32,N32:N44),"")</f>
        <v>291.338006038216</v>
      </c>
      <c r="P38" s="25" t="n">
        <f aca="false">IF(ISNUMBER(O38),C38/O38,"")</f>
        <v>0.882136881125933</v>
      </c>
      <c r="Q38" s="25" t="str">
        <f aca="false">IF(AND($A38+(-36)&gt;=1,$A38+(-36)&lt;=$B$8),INDEX($P$12:$P$71,$A38+(-36)),"")</f>
        <v/>
      </c>
      <c r="R38" s="25" t="str">
        <f aca="false">IF(AND($A38+(-24)&gt;=1,$A38+(-24)&lt;=$B$8),INDEX($P$12:$P$71,$A38+(-24)),"")</f>
        <v/>
      </c>
      <c r="S38" s="25" t="n">
        <f aca="false">IF(AND($A38+(-12)&gt;=1,$A38+(-12)&lt;=$B$8),INDEX($P$12:$P$71,$A38+(-12)),"")</f>
        <v>0.931848654126192</v>
      </c>
      <c r="T38" s="25" t="n">
        <f aca="false">IF(AND($A38+(0)&gt;=1,$A38+(0)&lt;=$B$8),INDEX($P$12:$P$71,$A38+(0)),"")</f>
        <v>0.882136881125933</v>
      </c>
      <c r="U38" s="25" t="n">
        <f aca="false">IF(AND($A38+(12)&gt;=1,$A38+(12)&lt;=$B$8),INDEX($P$12:$P$71,$A38+(12)),"")</f>
        <v>0.950960595017964</v>
      </c>
      <c r="V38" s="25" t="n">
        <f aca="false">IF(AND($A38+(24)&gt;=1,$A38+(24)&lt;=$B$8),INDEX($P$12:$P$71,$A38+(24)),"")</f>
        <v>0.942867951276267</v>
      </c>
      <c r="W38" s="25" t="str">
        <f aca="false">IF(AND($A38+(36)&gt;=1,$A38+(36)&lt;=$B$8),INDEX($P$12:$P$71,$A38+(36)),"")</f>
        <v/>
      </c>
      <c r="X38" s="25" t="n">
        <f aca="false">IF(SUMPRODUCT(Bobot_Filter!$B$43:$H$43,ISNUMBER(Q38:W38)*1)&gt;0,SUMPRODUCT(Bobot_Filter!$B$43:$H$43,Q38:W38)/SUMPRODUCT(Bobot_Filter!$B$43:$H$43,ISNUMBER(Q38:W38)*1),"")</f>
        <v>0.925506753942073</v>
      </c>
      <c r="Y38" s="25" t="n">
        <f aca="false">IF(AND($A38&gt;=$B$6,$A38&lt;=$B$7),SUMPRODUCT(Bobot_Filter!$B$4:$B$16,X32:X44),"")</f>
        <v>0.999655898186503</v>
      </c>
      <c r="Z38" s="33" t="n">
        <f aca="false">X38/INDEX($Y$12:$Y$71,MAX($B$6,MIN($A38,$B$7)))</f>
        <v>0.925825332117836</v>
      </c>
      <c r="AA38" s="27" t="n">
        <f aca="false">C38/Z38</f>
        <v>277.590157759142</v>
      </c>
      <c r="AB38" s="27" t="n">
        <f aca="false">IF(AND($A38&gt;=$B$6,$A38&lt;=$B$7),SUMPRODUCT(Bobot_Filter!$B$20:$B$32,AA32:AA44),"")</f>
        <v>291.24618031126</v>
      </c>
      <c r="AC38" s="25" t="n">
        <f aca="false">IF(ISNUMBER(AB38),AA38/AB38,"")</f>
        <v>0.953111753989276</v>
      </c>
      <c r="AD38" s="27" t="n">
        <f aca="false">$B$4+$B$3*A38</f>
        <v>291.311627878036</v>
      </c>
      <c r="AE38" s="27" t="n">
        <f aca="false">AD38*Z38</f>
        <v>269.70368462997</v>
      </c>
      <c r="AF38" s="28" t="n">
        <f aca="false">ABS(C38-AE38)/C38</f>
        <v>0.0494306794940451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Data!D32</f>
        <v>286</v>
      </c>
      <c r="D39" s="27" t="n">
        <f aca="false">IF(AND($A39&gt;=$B$6,$A39&lt;=$B$7),SUMPRODUCT(Bobot_Filter!$B$4:$B$16,C33:C45),"")</f>
        <v>294.625</v>
      </c>
      <c r="E39" s="25" t="n">
        <f aca="false">IF(ISNUMBER(D39),C39/D39,"")</f>
        <v>0.970725498515062</v>
      </c>
      <c r="F39" s="25" t="str">
        <f aca="false">IF(AND($A39+(-24)&gt;=1,$A39+(-24)&lt;=$B$8),INDEX($E$12:$E$71,$A39+(-24)),"")</f>
        <v/>
      </c>
      <c r="G39" s="25" t="n">
        <f aca="false">IF(AND($A39+(-12)&gt;=1,$A39+(-12)&lt;=$B$8),INDEX($E$12:$E$71,$A39+(-12)),"")</f>
        <v>0.897230210382927</v>
      </c>
      <c r="H39" s="25" t="n">
        <f aca="false">IF(AND($A39+(0)&gt;=1,$A39+(0)&lt;=$B$8),INDEX($E$12:$E$71,$A39+(0)),"")</f>
        <v>0.970725498515062</v>
      </c>
      <c r="I39" s="25" t="n">
        <f aca="false">IF(AND($A39+(12)&gt;=1,$A39+(12)&lt;=$B$8),INDEX($E$12:$E$71,$A39+(12)),"")</f>
        <v>0.955824384939514</v>
      </c>
      <c r="J39" s="25" t="n">
        <f aca="false">IF(AND($A39+(24)&gt;=1,$A39+(24)&lt;=$B$8),INDEX($E$12:$E$71,$A39+(24)),"")</f>
        <v>0.917541229385307</v>
      </c>
      <c r="K39" s="25" t="n">
        <f aca="false">IF(SUMPRODUCT(Bobot_Filter!$B$38:$F$38,ISNUMBER(F39:J39)*1)&gt;0,SUMPRODUCT(Bobot_Filter!$B$38:$F$38,F39:J39)/SUMPRODUCT(Bobot_Filter!$B$38:$F$38,ISNUMBER(F39:J39)*1),"")</f>
        <v>0.941978364446922</v>
      </c>
      <c r="L39" s="25" t="n">
        <f aca="false">IF(AND($A39&gt;=$B$6,$A39&lt;=$B$7),SUMPRODUCT(Bobot_Filter!$B$4:$B$16,K33:K45),"")</f>
        <v>1.00228509556287</v>
      </c>
      <c r="M39" s="25" t="n">
        <f aca="false">K39/INDEX($L$12:$L$71,MAX($B$6,MIN($A39,$B$7)))</f>
        <v>0.939830761344323</v>
      </c>
      <c r="N39" s="27" t="n">
        <f aca="false">C39/M39</f>
        <v>304.310107482446</v>
      </c>
      <c r="O39" s="27" t="n">
        <f aca="false">IF(AND($A39&gt;=$B$6,$A39&lt;=$B$7),SUMPRODUCT(Bobot_Filter!$B$20:$B$32,N33:N45),"")</f>
        <v>291.82009761134</v>
      </c>
      <c r="P39" s="25" t="n">
        <f aca="false">IF(ISNUMBER(O39),C39/O39,"")</f>
        <v>0.980055871206336</v>
      </c>
      <c r="Q39" s="25" t="str">
        <f aca="false">IF(AND($A39+(-36)&gt;=1,$A39+(-36)&lt;=$B$8),INDEX($P$12:$P$71,$A39+(-36)),"")</f>
        <v/>
      </c>
      <c r="R39" s="25" t="str">
        <f aca="false">IF(AND($A39+(-24)&gt;=1,$A39+(-24)&lt;=$B$8),INDEX($P$12:$P$71,$A39+(-24)),"")</f>
        <v/>
      </c>
      <c r="S39" s="25" t="n">
        <f aca="false">IF(AND($A39+(-12)&gt;=1,$A39+(-12)&lt;=$B$8),INDEX($P$12:$P$71,$A39+(-12)),"")</f>
        <v>0.896969462715834</v>
      </c>
      <c r="T39" s="25" t="n">
        <f aca="false">IF(AND($A39+(0)&gt;=1,$A39+(0)&lt;=$B$8),INDEX($P$12:$P$71,$A39+(0)),"")</f>
        <v>0.980055871206336</v>
      </c>
      <c r="U39" s="25" t="n">
        <f aca="false">IF(AND($A39+(12)&gt;=1,$A39+(12)&lt;=$B$8),INDEX($P$12:$P$71,$A39+(12)),"")</f>
        <v>0.95959081361067</v>
      </c>
      <c r="V39" s="25" t="n">
        <f aca="false">IF(AND($A39+(24)&gt;=1,$A39+(24)&lt;=$B$8),INDEX($P$12:$P$71,$A39+(24)),"")</f>
        <v>0.913281802506942</v>
      </c>
      <c r="W39" s="25" t="str">
        <f aca="false">IF(AND($A39+(36)&gt;=1,$A39+(36)&lt;=$B$8),INDEX($P$12:$P$71,$A39+(36)),"")</f>
        <v/>
      </c>
      <c r="X39" s="25" t="n">
        <f aca="false">IF(SUMPRODUCT(Bobot_Filter!$B$43:$H$43,ISNUMBER(Q39:W39)*1)&gt;0,SUMPRODUCT(Bobot_Filter!$B$43:$H$43,Q39:W39)/SUMPRODUCT(Bobot_Filter!$B$43:$H$43,ISNUMBER(Q39:W39)*1),"")</f>
        <v>0.939673822510219</v>
      </c>
      <c r="Y39" s="25" t="n">
        <f aca="false">IF(AND($A39&gt;=$B$6,$A39&lt;=$B$7),SUMPRODUCT(Bobot_Filter!$B$4:$B$16,X33:X45),"")</f>
        <v>1.00089660582979</v>
      </c>
      <c r="Z39" s="33" t="n">
        <f aca="false">X39/INDEX($Y$12:$Y$71,MAX($B$6,MIN($A39,$B$7)))</f>
        <v>0.938832060211838</v>
      </c>
      <c r="AA39" s="27" t="n">
        <f aca="false">C39/Z39</f>
        <v>304.63382336503</v>
      </c>
      <c r="AB39" s="27" t="n">
        <f aca="false">IF(AND($A39&gt;=$B$6,$A39&lt;=$B$7),SUMPRODUCT(Bobot_Filter!$B$20:$B$32,AA33:AA45),"")</f>
        <v>291.353058549677</v>
      </c>
      <c r="AC39" s="25" t="n">
        <f aca="false">IF(ISNUMBER(AB39),AA39/AB39,"")</f>
        <v>1.04558306297336</v>
      </c>
      <c r="AD39" s="27" t="n">
        <f aca="false">$B$4+$B$3*A39</f>
        <v>292.860697496911</v>
      </c>
      <c r="AE39" s="27" t="n">
        <f aca="false">AD39*Z39</f>
        <v>274.947011986101</v>
      </c>
      <c r="AF39" s="28" t="n">
        <f aca="false">ABS(C39-AE39)/C39</f>
        <v>0.0386468112374108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Data!D33</f>
        <v>252</v>
      </c>
      <c r="D40" s="27" t="n">
        <f aca="false">IF(AND($A40&gt;=$B$6,$A40&lt;=$B$7),SUMPRODUCT(Bobot_Filter!$B$4:$B$16,C34:C46),"")</f>
        <v>295.875</v>
      </c>
      <c r="E40" s="25" t="n">
        <f aca="false">IF(ISNUMBER(D40),C40/D40,"")</f>
        <v>0.85171102661597</v>
      </c>
      <c r="F40" s="25" t="str">
        <f aca="false">IF(AND($A40+(-24)&gt;=1,$A40+(-24)&lt;=$B$8),INDEX($E$12:$E$71,$A40+(-24)),"")</f>
        <v/>
      </c>
      <c r="G40" s="25" t="n">
        <f aca="false">IF(AND($A40+(-12)&gt;=1,$A40+(-12)&lt;=$B$8),INDEX($E$12:$E$71,$A40+(-12)),"")</f>
        <v>0.900360144057623</v>
      </c>
      <c r="H40" s="25" t="n">
        <f aca="false">IF(AND($A40+(0)&gt;=1,$A40+(0)&lt;=$B$8),INDEX($E$12:$E$71,$A40+(0)),"")</f>
        <v>0.85171102661597</v>
      </c>
      <c r="I40" s="25" t="n">
        <f aca="false">IF(AND($A40+(12)&gt;=1,$A40+(12)&lt;=$B$8),INDEX($E$12:$E$71,$A40+(12)),"")</f>
        <v>0.916868442292171</v>
      </c>
      <c r="J40" s="25" t="n">
        <f aca="false">IF(AND($A40+(24)&gt;=1,$A40+(24)&lt;=$B$8),INDEX($E$12:$E$71,$A40+(24)),"")</f>
        <v>0.857680250783699</v>
      </c>
      <c r="K40" s="25" t="n">
        <f aca="false">IF(SUMPRODUCT(Bobot_Filter!$B$38:$F$38,ISNUMBER(F40:J40)*1)&gt;0,SUMPRODUCT(Bobot_Filter!$B$38:$F$38,F40:J40)/SUMPRODUCT(Bobot_Filter!$B$38:$F$38,ISNUMBER(F40:J40)*1),"")</f>
        <v>0.8809088129164</v>
      </c>
      <c r="L40" s="25" t="n">
        <f aca="false">IF(AND($A40&gt;=$B$6,$A40&lt;=$B$7),SUMPRODUCT(Bobot_Filter!$B$4:$B$16,K34:K46),"")</f>
        <v>1.00290986612233</v>
      </c>
      <c r="M40" s="25" t="n">
        <f aca="false">K40/INDEX($L$12:$L$71,MAX($B$6,MIN($A40,$B$7)))</f>
        <v>0.878352923500853</v>
      </c>
      <c r="N40" s="27" t="n">
        <f aca="false">C40/M40</f>
        <v>286.900621899912</v>
      </c>
      <c r="O40" s="27" t="n">
        <f aca="false">IF(AND($A40&gt;=$B$6,$A40&lt;=$B$7),SUMPRODUCT(Bobot_Filter!$B$20:$B$32,N34:N46),"")</f>
        <v>293.297437973084</v>
      </c>
      <c r="P40" s="25" t="n">
        <f aca="false">IF(ISNUMBER(O40),C40/O40,"")</f>
        <v>0.859196049380856</v>
      </c>
      <c r="Q40" s="25" t="str">
        <f aca="false">IF(AND($A40+(-36)&gt;=1,$A40+(-36)&lt;=$B$8),INDEX($P$12:$P$71,$A40+(-36)),"")</f>
        <v/>
      </c>
      <c r="R40" s="25" t="str">
        <f aca="false">IF(AND($A40+(-24)&gt;=1,$A40+(-24)&lt;=$B$8),INDEX($P$12:$P$71,$A40+(-24)),"")</f>
        <v/>
      </c>
      <c r="S40" s="25" t="n">
        <f aca="false">IF(AND($A40+(-12)&gt;=1,$A40+(-12)&lt;=$B$8),INDEX($P$12:$P$71,$A40+(-12)),"")</f>
        <v>0.906224098324454</v>
      </c>
      <c r="T40" s="25" t="n">
        <f aca="false">IF(AND($A40+(0)&gt;=1,$A40+(0)&lt;=$B$8),INDEX($P$12:$P$71,$A40+(0)),"")</f>
        <v>0.859196049380856</v>
      </c>
      <c r="U40" s="25" t="n">
        <f aca="false">IF(AND($A40+(12)&gt;=1,$A40+(12)&lt;=$B$8),INDEX($P$12:$P$71,$A40+(12)),"")</f>
        <v>0.917866714886047</v>
      </c>
      <c r="V40" s="25" t="n">
        <f aca="false">IF(AND($A40+(24)&gt;=1,$A40+(24)&lt;=$B$8),INDEX($P$12:$P$71,$A40+(24)),"")</f>
        <v>0.853106743420156</v>
      </c>
      <c r="W40" s="25" t="str">
        <f aca="false">IF(AND($A40+(36)&gt;=1,$A40+(36)&lt;=$B$8),INDEX($P$12:$P$71,$A40+(36)),"")</f>
        <v/>
      </c>
      <c r="X40" s="25" t="n">
        <f aca="false">IF(SUMPRODUCT(Bobot_Filter!$B$43:$H$43,ISNUMBER(Q40:W40)*1)&gt;0,SUMPRODUCT(Bobot_Filter!$B$43:$H$43,Q40:W40)/SUMPRODUCT(Bobot_Filter!$B$43:$H$43,ISNUMBER(Q40:W40)*1),"")</f>
        <v>0.886915824964944</v>
      </c>
      <c r="Y40" s="25" t="n">
        <f aca="false">IF(AND($A40&gt;=$B$6,$A40&lt;=$B$7),SUMPRODUCT(Bobot_Filter!$B$4:$B$16,X34:X46),"")</f>
        <v>1.00137161510931</v>
      </c>
      <c r="Z40" s="33" t="n">
        <f aca="false">X40/INDEX($Y$12:$Y$71,MAX($B$6,MIN($A40,$B$7)))</f>
        <v>0.885700984112803</v>
      </c>
      <c r="AA40" s="27" t="n">
        <f aca="false">C40/Z40</f>
        <v>284.520401941775</v>
      </c>
      <c r="AB40" s="27" t="n">
        <f aca="false">IF(AND($A40&gt;=$B$6,$A40&lt;=$B$7),SUMPRODUCT(Bobot_Filter!$B$20:$B$32,AA34:AA46),"")</f>
        <v>292.89297172482</v>
      </c>
      <c r="AC40" s="25" t="n">
        <f aca="false">IF(ISNUMBER(AB40),AA40/AB40,"")</f>
        <v>0.971414234579478</v>
      </c>
      <c r="AD40" s="27" t="n">
        <f aca="false">$B$4+$B$3*A40</f>
        <v>294.409767115786</v>
      </c>
      <c r="AE40" s="27" t="n">
        <f aca="false">AD40*Z40</f>
        <v>260.759020466872</v>
      </c>
      <c r="AF40" s="28" t="n">
        <f aca="false">ABS(C40-AE40)/C40</f>
        <v>0.0347580177256842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Data!D34</f>
        <v>272</v>
      </c>
      <c r="D41" s="27" t="n">
        <f aca="false">IF(AND($A41&gt;=$B$6,$A41&lt;=$B$7),SUMPRODUCT(Bobot_Filter!$B$4:$B$16,C35:C47),"")</f>
        <v>295.583333333333</v>
      </c>
      <c r="E41" s="25" t="n">
        <f aca="false">IF(ISNUMBER(D41),C41/D41,"")</f>
        <v>0.920214265576544</v>
      </c>
      <c r="F41" s="25" t="str">
        <f aca="false">IF(AND($A41+(-24)&gt;=1,$A41+(-24)&lt;=$B$8),INDEX($E$12:$E$71,$A41+(-24)),"")</f>
        <v/>
      </c>
      <c r="G41" s="25" t="n">
        <f aca="false">IF(AND($A41+(-12)&gt;=1,$A41+(-12)&lt;=$B$8),INDEX($E$12:$E$71,$A41+(-12)),"")</f>
        <v>0.953929539295393</v>
      </c>
      <c r="H41" s="25" t="n">
        <f aca="false">IF(AND($A41+(0)&gt;=1,$A41+(0)&lt;=$B$8),INDEX($E$12:$E$71,$A41+(0)),"")</f>
        <v>0.920214265576544</v>
      </c>
      <c r="I41" s="25" t="n">
        <f aca="false">IF(AND($A41+(12)&gt;=1,$A41+(12)&lt;=$B$8),INDEX($E$12:$E$71,$A41+(12)),"")</f>
        <v>0.881619520042901</v>
      </c>
      <c r="J41" s="25" t="n">
        <f aca="false">IF(AND($A41+(24)&gt;=1,$A41+(24)&lt;=$B$8),INDEX($E$12:$E$71,$A41+(24)),"")</f>
        <v>0.937570656952644</v>
      </c>
      <c r="K41" s="25" t="n">
        <f aca="false">IF(SUMPRODUCT(Bobot_Filter!$B$38:$F$38,ISNUMBER(F41:J41)*1)&gt;0,SUMPRODUCT(Bobot_Filter!$B$38:$F$38,F41:J41)/SUMPRODUCT(Bobot_Filter!$B$38:$F$38,ISNUMBER(F41:J41)*1),"")</f>
        <v>0.921163946544858</v>
      </c>
      <c r="L41" s="25" t="n">
        <f aca="false">IF(AND($A41&gt;=$B$6,$A41&lt;=$B$7),SUMPRODUCT(Bobot_Filter!$B$4:$B$16,K35:K47),"")</f>
        <v>1.0000495661598</v>
      </c>
      <c r="M41" s="25" t="n">
        <f aca="false">K41/INDEX($L$12:$L$71,MAX($B$6,MIN($A41,$B$7)))</f>
        <v>0.921118290248487</v>
      </c>
      <c r="N41" s="27" t="n">
        <f aca="false">C41/M41</f>
        <v>295.29323527668</v>
      </c>
      <c r="O41" s="27" t="n">
        <f aca="false">IF(AND($A41&gt;=$B$6,$A41&lt;=$B$7),SUMPRODUCT(Bobot_Filter!$B$20:$B$32,N35:N47),"")</f>
        <v>295.613454295735</v>
      </c>
      <c r="P41" s="25" t="n">
        <f aca="false">IF(ISNUMBER(O41),C41/O41,"")</f>
        <v>0.920120502119935</v>
      </c>
      <c r="Q41" s="25" t="str">
        <f aca="false">IF(AND($A41+(-36)&gt;=1,$A41+(-36)&lt;=$B$8),INDEX($P$12:$P$71,$A41+(-36)),"")</f>
        <v/>
      </c>
      <c r="R41" s="25" t="str">
        <f aca="false">IF(AND($A41+(-24)&gt;=1,$A41+(-24)&lt;=$B$8),INDEX($P$12:$P$71,$A41+(-24)),"")</f>
        <v/>
      </c>
      <c r="S41" s="25" t="n">
        <f aca="false">IF(AND($A41+(-12)&gt;=1,$A41+(-12)&lt;=$B$8),INDEX($P$12:$P$71,$A41+(-12)),"")</f>
        <v>0.953882286155641</v>
      </c>
      <c r="T41" s="25" t="n">
        <f aca="false">IF(AND($A41+(0)&gt;=1,$A41+(0)&lt;=$B$8),INDEX($P$12:$P$71,$A41+(0)),"")</f>
        <v>0.920120502119935</v>
      </c>
      <c r="U41" s="25" t="n">
        <f aca="false">IF(AND($A41+(12)&gt;=1,$A41+(12)&lt;=$B$8),INDEX($P$12:$P$71,$A41+(12)),"")</f>
        <v>0.875464314911227</v>
      </c>
      <c r="V41" s="25" t="n">
        <f aca="false">IF(AND($A41+(24)&gt;=1,$A41+(24)&lt;=$B$8),INDEX($P$12:$P$71,$A41+(24)),"")</f>
        <v>0.933509169790779</v>
      </c>
      <c r="W41" s="25" t="str">
        <f aca="false">IF(AND($A41+(36)&gt;=1,$A41+(36)&lt;=$B$8),INDEX($P$12:$P$71,$A41+(36)),"")</f>
        <v/>
      </c>
      <c r="X41" s="25" t="n">
        <f aca="false">IF(SUMPRODUCT(Bobot_Filter!$B$43:$H$43,ISNUMBER(Q41:W41)*1)&gt;0,SUMPRODUCT(Bobot_Filter!$B$43:$H$43,Q41:W41)/SUMPRODUCT(Bobot_Filter!$B$43:$H$43,ISNUMBER(Q41:W41)*1),"")</f>
        <v>0.919583604467451</v>
      </c>
      <c r="Y41" s="25" t="n">
        <f aca="false">IF(AND($A41&gt;=$B$6,$A41&lt;=$B$7),SUMPRODUCT(Bobot_Filter!$B$4:$B$16,X35:X47),"")</f>
        <v>0.999771249539027</v>
      </c>
      <c r="Z41" s="33" t="n">
        <f aca="false">X41/INDEX($Y$12:$Y$71,MAX($B$6,MIN($A41,$B$7)))</f>
        <v>0.919794007770729</v>
      </c>
      <c r="AA41" s="27" t="n">
        <f aca="false">C41/Z41</f>
        <v>295.718386619235</v>
      </c>
      <c r="AB41" s="27" t="n">
        <f aca="false">IF(AND($A41&gt;=$B$6,$A41&lt;=$B$7),SUMPRODUCT(Bobot_Filter!$B$20:$B$32,AA35:AA47),"")</f>
        <v>295.740395691115</v>
      </c>
      <c r="AC41" s="25" t="n">
        <f aca="false">IF(ISNUMBER(AB41),AA41/AB41,"")</f>
        <v>0.999925579757784</v>
      </c>
      <c r="AD41" s="27" t="n">
        <f aca="false">$B$4+$B$3*A41</f>
        <v>295.958836734661</v>
      </c>
      <c r="AE41" s="27" t="n">
        <f aca="false">AD41*Z41</f>
        <v>272.221164575336</v>
      </c>
      <c r="AF41" s="28" t="n">
        <f aca="false">ABS(C41-AE41)/C41</f>
        <v>0.000813105056382944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Data!D35</f>
        <v>319</v>
      </c>
      <c r="D42" s="27" t="n">
        <f aca="false">IF(AND($A42&gt;=$B$6,$A42&lt;=$B$7),SUMPRODUCT(Bobot_Filter!$B$4:$B$16,C36:C48),"")</f>
        <v>296.5</v>
      </c>
      <c r="E42" s="25" t="n">
        <f aca="false">IF(ISNUMBER(D42),C42/D42,"")</f>
        <v>1.07588532883643</v>
      </c>
      <c r="F42" s="25" t="n">
        <f aca="false">IF(AND($A42+(-24)&gt;=1,$A42+(-24)&lt;=$B$8),INDEX($E$12:$E$71,$A42+(-24)),"")</f>
        <v>1.1337400281558</v>
      </c>
      <c r="G42" s="25" t="n">
        <f aca="false">IF(AND($A42+(-12)&gt;=1,$A42+(-12)&lt;=$B$8),INDEX($E$12:$E$71,$A42+(-12)),"")</f>
        <v>1.15749811605124</v>
      </c>
      <c r="H42" s="25" t="n">
        <f aca="false">IF(AND($A42+(0)&gt;=1,$A42+(0)&lt;=$B$8),INDEX($E$12:$E$71,$A42+(0)),"")</f>
        <v>1.07588532883643</v>
      </c>
      <c r="I42" s="25" t="n">
        <f aca="false">IF(AND($A42+(12)&gt;=1,$A42+(12)&lt;=$B$8),INDEX($E$12:$E$71,$A42+(12)),"")</f>
        <v>1.08626198083067</v>
      </c>
      <c r="J42" s="25" t="str">
        <f aca="false">IF(AND($A42+(24)&gt;=1,$A42+(24)&lt;=$B$8),INDEX($E$12:$E$71,$A42+(24)),"")</f>
        <v/>
      </c>
      <c r="K42" s="25" t="n">
        <f aca="false">IF(SUMPRODUCT(Bobot_Filter!$B$38:$F$38,ISNUMBER(F42:J42)*1)&gt;0,SUMPRODUCT(Bobot_Filter!$B$38:$F$38,F42:J42)/SUMPRODUCT(Bobot_Filter!$B$38:$F$38,ISNUMBER(F42:J42)*1),"")</f>
        <v>1.10611452605361</v>
      </c>
      <c r="L42" s="25" t="n">
        <f aca="false">IF(AND($A42&gt;=$B$6,$A42&lt;=$B$7),SUMPRODUCT(Bobot_Filter!$B$4:$B$16,K36:K48),"")</f>
        <v>0.999187925325848</v>
      </c>
      <c r="M42" s="25" t="n">
        <f aca="false">K42/INDEX($L$12:$L$71,MAX($B$6,MIN($A42,$B$7)))</f>
        <v>1.1070135036839</v>
      </c>
      <c r="N42" s="27" t="n">
        <f aca="false">C42/M42</f>
        <v>288.162699857263</v>
      </c>
      <c r="O42" s="27" t="n">
        <f aca="false">IF(AND($A42&gt;=$B$6,$A42&lt;=$B$7),SUMPRODUCT(Bobot_Filter!$B$20:$B$32,N36:N48),"")</f>
        <v>298.386976129316</v>
      </c>
      <c r="P42" s="25" t="n">
        <f aca="false">IF(ISNUMBER(O42),C42/O42,"")</f>
        <v>1.06908151333573</v>
      </c>
      <c r="Q42" s="25" t="str">
        <f aca="false">IF(AND($A42+(-36)&gt;=1,$A42+(-36)&lt;=$B$8),INDEX($P$12:$P$71,$A42+(-36)),"")</f>
        <v/>
      </c>
      <c r="R42" s="25" t="n">
        <f aca="false">IF(AND($A42+(-24)&gt;=1,$A42+(-24)&lt;=$B$8),INDEX($P$12:$P$71,$A42+(-24)),"")</f>
        <v>1.12921264960641</v>
      </c>
      <c r="S42" s="25" t="n">
        <f aca="false">IF(AND($A42+(-12)&gt;=1,$A42+(-12)&lt;=$B$8),INDEX($P$12:$P$71,$A42+(-12)),"")</f>
        <v>1.15559712547743</v>
      </c>
      <c r="T42" s="25" t="n">
        <f aca="false">IF(AND($A42+(0)&gt;=1,$A42+(0)&lt;=$B$8),INDEX($P$12:$P$71,$A42+(0)),"")</f>
        <v>1.06908151333573</v>
      </c>
      <c r="U42" s="25" t="n">
        <f aca="false">IF(AND($A42+(12)&gt;=1,$A42+(12)&lt;=$B$8),INDEX($P$12:$P$71,$A42+(12)),"")</f>
        <v>1.07652151167566</v>
      </c>
      <c r="V42" s="25" t="str">
        <f aca="false">IF(AND($A42+(24)&gt;=1,$A42+(24)&lt;=$B$8),INDEX($P$12:$P$71,$A42+(24)),"")</f>
        <v/>
      </c>
      <c r="W42" s="25" t="str">
        <f aca="false">IF(AND($A42+(36)&gt;=1,$A42+(36)&lt;=$B$8),INDEX($P$12:$P$71,$A42+(36)),"")</f>
        <v/>
      </c>
      <c r="X42" s="25" t="n">
        <f aca="false">IF(SUMPRODUCT(Bobot_Filter!$B$43:$H$43,ISNUMBER(Q42:W42)*1)&gt;0,SUMPRODUCT(Bobot_Filter!$B$43:$H$43,Q42:W42)/SUMPRODUCT(Bobot_Filter!$B$43:$H$43,ISNUMBER(Q42:W42)*1),"")</f>
        <v>1.10563870460721</v>
      </c>
      <c r="Y42" s="25" t="n">
        <f aca="false">IF(AND($A42&gt;=$B$6,$A42&lt;=$B$7),SUMPRODUCT(Bobot_Filter!$B$4:$B$16,X36:X48),"")</f>
        <v>0.999200348158264</v>
      </c>
      <c r="Z42" s="33" t="n">
        <f aca="false">X42/INDEX($Y$12:$Y$71,MAX($B$6,MIN($A42,$B$7)))</f>
        <v>1.10652353819245</v>
      </c>
      <c r="AA42" s="27" t="n">
        <f aca="false">C42/Z42</f>
        <v>288.290297485312</v>
      </c>
      <c r="AB42" s="27" t="n">
        <f aca="false">IF(AND($A42&gt;=$B$6,$A42&lt;=$B$7),SUMPRODUCT(Bobot_Filter!$B$20:$B$32,AA36:AA48),"")</f>
        <v>299.12697809616</v>
      </c>
      <c r="AC42" s="25" t="n">
        <f aca="false">IF(ISNUMBER(AB42),AA42/AB42,"")</f>
        <v>0.96377230606273</v>
      </c>
      <c r="AD42" s="27" t="n">
        <f aca="false">$B$4+$B$3*A42</f>
        <v>297.507906353536</v>
      </c>
      <c r="AE42" s="27" t="n">
        <f aca="false">AD42*Z42</f>
        <v>329.199501178541</v>
      </c>
      <c r="AF42" s="28" t="n">
        <f aca="false">ABS(C42-AE42)/C42</f>
        <v>0.0319733579264605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Data!D36</f>
        <v>334</v>
      </c>
      <c r="D43" s="27" t="n">
        <f aca="false">IF(AND($A43&gt;=$B$6,$A43&lt;=$B$7),SUMPRODUCT(Bobot_Filter!$B$4:$B$16,C37:C49),"")</f>
        <v>295.583333333333</v>
      </c>
      <c r="E43" s="25" t="n">
        <f aca="false">IF(ISNUMBER(D43),C43/D43,"")</f>
        <v>1.12996898787708</v>
      </c>
      <c r="F43" s="25" t="n">
        <f aca="false">IF(AND($A43+(-24)&gt;=1,$A43+(-24)&lt;=$B$8),INDEX($E$12:$E$71,$A43+(-24)),"")</f>
        <v>1.07613264829519</v>
      </c>
      <c r="G43" s="25" t="n">
        <f aca="false">IF(AND($A43+(-12)&gt;=1,$A43+(-12)&lt;=$B$8),INDEX($E$12:$E$71,$A43+(-12)),"")</f>
        <v>0.996118244252016</v>
      </c>
      <c r="H43" s="25" t="n">
        <f aca="false">IF(AND($A43+(0)&gt;=1,$A43+(0)&lt;=$B$8),INDEX($E$12:$E$71,$A43+(0)),"")</f>
        <v>1.12996898787708</v>
      </c>
      <c r="I43" s="25" t="n">
        <f aca="false">IF(AND($A43+(12)&gt;=1,$A43+(12)&lt;=$B$8),INDEX($E$12:$E$71,$A43+(12)),"")</f>
        <v>1.10460251046025</v>
      </c>
      <c r="J43" s="25" t="str">
        <f aca="false">IF(AND($A43+(24)&gt;=1,$A43+(24)&lt;=$B$8),INDEX($E$12:$E$71,$A43+(24)),"")</f>
        <v/>
      </c>
      <c r="K43" s="25" t="n">
        <f aca="false">IF(SUMPRODUCT(Bobot_Filter!$B$38:$F$38,ISNUMBER(F43:J43)*1)&gt;0,SUMPRODUCT(Bobot_Filter!$B$38:$F$38,F43:J43)/SUMPRODUCT(Bobot_Filter!$B$38:$F$38,ISNUMBER(F43:J43)*1),"")</f>
        <v>1.08343514016887</v>
      </c>
      <c r="L43" s="25" t="n">
        <f aca="false">IF(AND($A43&gt;=$B$6,$A43&lt;=$B$7),SUMPRODUCT(Bobot_Filter!$B$4:$B$16,K37:K49),"")</f>
        <v>0.999273986125249</v>
      </c>
      <c r="M43" s="25" t="n">
        <f aca="false">K43/INDEX($L$12:$L$71,MAX($B$6,MIN($A43,$B$7)))</f>
        <v>1.08422230060242</v>
      </c>
      <c r="N43" s="27" t="n">
        <f aca="false">C43/M43</f>
        <v>308.054907018995</v>
      </c>
      <c r="O43" s="27" t="n">
        <f aca="false">IF(AND($A43&gt;=$B$6,$A43&lt;=$B$7),SUMPRODUCT(Bobot_Filter!$B$20:$B$32,N37:N49),"")</f>
        <v>301.388146267642</v>
      </c>
      <c r="P43" s="25" t="n">
        <f aca="false">IF(ISNUMBER(O43),C43/O43,"")</f>
        <v>1.10820549559171</v>
      </c>
      <c r="Q43" s="25" t="str">
        <f aca="false">IF(AND($A43+(-36)&gt;=1,$A43+(-36)&lt;=$B$8),INDEX($P$12:$P$71,$A43+(-36)),"")</f>
        <v/>
      </c>
      <c r="R43" s="25" t="n">
        <f aca="false">IF(AND($A43+(-24)&gt;=1,$A43+(-24)&lt;=$B$8),INDEX($P$12:$P$71,$A43+(-24)),"")</f>
        <v>1.08330543660651</v>
      </c>
      <c r="S43" s="25" t="n">
        <f aca="false">IF(AND($A43+(-12)&gt;=1,$A43+(-12)&lt;=$B$8),INDEX($P$12:$P$71,$A43+(-12)),"")</f>
        <v>1.00605186014189</v>
      </c>
      <c r="T43" s="25" t="n">
        <f aca="false">IF(AND($A43+(0)&gt;=1,$A43+(0)&lt;=$B$8),INDEX($P$12:$P$71,$A43+(0)),"")</f>
        <v>1.10820549559171</v>
      </c>
      <c r="U43" s="25" t="n">
        <f aca="false">IF(AND($A43+(12)&gt;=1,$A43+(12)&lt;=$B$8),INDEX($P$12:$P$71,$A43+(12)),"")</f>
        <v>1.10836608170094</v>
      </c>
      <c r="V43" s="25" t="str">
        <f aca="false">IF(AND($A43+(24)&gt;=1,$A43+(24)&lt;=$B$8),INDEX($P$12:$P$71,$A43+(24)),"")</f>
        <v/>
      </c>
      <c r="W43" s="25" t="str">
        <f aca="false">IF(AND($A43+(36)&gt;=1,$A43+(36)&lt;=$B$8),INDEX($P$12:$P$71,$A43+(36)),"")</f>
        <v/>
      </c>
      <c r="X43" s="25" t="n">
        <f aca="false">IF(SUMPRODUCT(Bobot_Filter!$B$43:$H$43,ISNUMBER(Q43:W43)*1)&gt;0,SUMPRODUCT(Bobot_Filter!$B$43:$H$43,Q43:W43)/SUMPRODUCT(Bobot_Filter!$B$43:$H$43,ISNUMBER(Q43:W43)*1),"")</f>
        <v>1.07586192595606</v>
      </c>
      <c r="Y43" s="25" t="n">
        <f aca="false">IF(AND($A43&gt;=$B$6,$A43&lt;=$B$7),SUMPRODUCT(Bobot_Filter!$B$4:$B$16,X37:X49),"")</f>
        <v>0.99986759955075</v>
      </c>
      <c r="Z43" s="33" t="n">
        <f aca="false">X43/INDEX($Y$12:$Y$71,MAX($B$6,MIN($A43,$B$7)))</f>
        <v>1.07600438942061</v>
      </c>
      <c r="AA43" s="27" t="n">
        <f aca="false">C43/Z43</f>
        <v>310.407655660072</v>
      </c>
      <c r="AB43" s="27" t="n">
        <f aca="false">IF(AND($A43&gt;=$B$6,$A43&lt;=$B$7),SUMPRODUCT(Bobot_Filter!$B$20:$B$32,AA37:AA49),"")</f>
        <v>302.535096624059</v>
      </c>
      <c r="AC43" s="25" t="n">
        <f aca="false">IF(ISNUMBER(AB43),AA43/AB43,"")</f>
        <v>1.02602196943053</v>
      </c>
      <c r="AD43" s="27" t="n">
        <f aca="false">$B$4+$B$3*A43</f>
        <v>299.056975972411</v>
      </c>
      <c r="AE43" s="27" t="n">
        <f aca="false">AD43*Z43</f>
        <v>321.786618833169</v>
      </c>
      <c r="AF43" s="28" t="n">
        <f aca="false">ABS(C43-AE43)/C43</f>
        <v>0.0365670094815299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Data!D37</f>
        <v>284</v>
      </c>
      <c r="D44" s="27" t="n">
        <f aca="false">IF(AND($A44&gt;=$B$6,$A44&lt;=$B$7),SUMPRODUCT(Bobot_Filter!$B$4:$B$16,C38:C50),"")</f>
        <v>295.958333333333</v>
      </c>
      <c r="E44" s="25" t="n">
        <f aca="false">IF(ISNUMBER(D44),C44/D44,"")</f>
        <v>0.959594537519358</v>
      </c>
      <c r="F44" s="25" t="n">
        <f aca="false">IF(AND($A44+(-24)&gt;=1,$A44+(-24)&lt;=$B$8),INDEX($E$12:$E$71,$A44+(-24)),"")</f>
        <v>0.905380333951763</v>
      </c>
      <c r="G44" s="25" t="n">
        <f aca="false">IF(AND($A44+(-12)&gt;=1,$A44+(-12)&lt;=$B$8),INDEX($E$12:$E$71,$A44+(-12)),"")</f>
        <v>0.904316866933689</v>
      </c>
      <c r="H44" s="25" t="n">
        <f aca="false">IF(AND($A44+(0)&gt;=1,$A44+(0)&lt;=$B$8),INDEX($E$12:$E$71,$A44+(0)),"")</f>
        <v>0.959594537519358</v>
      </c>
      <c r="I44" s="25" t="n">
        <f aca="false">IF(AND($A44+(12)&gt;=1,$A44+(12)&lt;=$B$8),INDEX($E$12:$E$71,$A44+(12)),"")</f>
        <v>0.909864603481625</v>
      </c>
      <c r="J44" s="25" t="str">
        <f aca="false">IF(AND($A44+(24)&gt;=1,$A44+(24)&lt;=$B$8),INDEX($E$12:$E$71,$A44+(24)),"")</f>
        <v/>
      </c>
      <c r="K44" s="25" t="n">
        <f aca="false">IF(SUMPRODUCT(Bobot_Filter!$B$38:$F$38,ISNUMBER(F44:J44)*1)&gt;0,SUMPRODUCT(Bobot_Filter!$B$38:$F$38,F44:J44)/SUMPRODUCT(Bobot_Filter!$B$38:$F$38,ISNUMBER(F44:J44)*1),"")</f>
        <v>0.926565860917558</v>
      </c>
      <c r="L44" s="25" t="n">
        <f aca="false">IF(AND($A44&gt;=$B$6,$A44&lt;=$B$7),SUMPRODUCT(Bobot_Filter!$B$4:$B$16,K38:K50),"")</f>
        <v>0.999634995726868</v>
      </c>
      <c r="M44" s="25" t="n">
        <f aca="false">K44/INDEX($L$12:$L$71,MAX($B$6,MIN($A44,$B$7)))</f>
        <v>0.926904184905833</v>
      </c>
      <c r="N44" s="27" t="n">
        <f aca="false">C44/M44</f>
        <v>306.396286288051</v>
      </c>
      <c r="O44" s="27" t="n">
        <f aca="false">IF(AND($A44&gt;=$B$6,$A44&lt;=$B$7),SUMPRODUCT(Bobot_Filter!$B$20:$B$32,N38:N50),"")</f>
        <v>302.555399364199</v>
      </c>
      <c r="P44" s="25" t="n">
        <f aca="false">IF(ISNUMBER(O44),C44/O44,"")</f>
        <v>0.93867106849459</v>
      </c>
      <c r="Q44" s="25" t="str">
        <f aca="false">IF(AND($A44+(-36)&gt;=1,$A44+(-36)&lt;=$B$8),INDEX($P$12:$P$71,$A44+(-36)),"")</f>
        <v/>
      </c>
      <c r="R44" s="25" t="n">
        <f aca="false">IF(AND($A44+(-24)&gt;=1,$A44+(-24)&lt;=$B$8),INDEX($P$12:$P$71,$A44+(-24)),"")</f>
        <v>0.918629889117625</v>
      </c>
      <c r="S44" s="25" t="n">
        <f aca="false">IF(AND($A44+(-12)&gt;=1,$A44+(-12)&lt;=$B$8),INDEX($P$12:$P$71,$A44+(-12)),"")</f>
        <v>0.917764791794422</v>
      </c>
      <c r="T44" s="25" t="n">
        <f aca="false">IF(AND($A44+(0)&gt;=1,$A44+(0)&lt;=$B$8),INDEX($P$12:$P$71,$A44+(0)),"")</f>
        <v>0.93867106849459</v>
      </c>
      <c r="U44" s="25" t="n">
        <f aca="false">IF(AND($A44+(12)&gt;=1,$A44+(12)&lt;=$B$8),INDEX($P$12:$P$71,$A44+(12)),"")</f>
        <v>0.919423367006354</v>
      </c>
      <c r="V44" s="25" t="str">
        <f aca="false">IF(AND($A44+(24)&gt;=1,$A44+(24)&lt;=$B$8),INDEX($P$12:$P$71,$A44+(24)),"")</f>
        <v/>
      </c>
      <c r="W44" s="25" t="str">
        <f aca="false">IF(AND($A44+(36)&gt;=1,$A44+(36)&lt;=$B$8),INDEX($P$12:$P$71,$A44+(36)),"")</f>
        <v/>
      </c>
      <c r="X44" s="25" t="n">
        <f aca="false">IF(SUMPRODUCT(Bobot_Filter!$B$43:$H$43,ISNUMBER(Q44:W44)*1)&gt;0,SUMPRODUCT(Bobot_Filter!$B$43:$H$43,Q44:W44)/SUMPRODUCT(Bobot_Filter!$B$43:$H$43,ISNUMBER(Q44:W44)*1),"")</f>
        <v>0.924076132738305</v>
      </c>
      <c r="Y44" s="25" t="n">
        <f aca="false">IF(AND($A44&gt;=$B$6,$A44&lt;=$B$7),SUMPRODUCT(Bobot_Filter!$B$4:$B$16,X38:X50),"")</f>
        <v>1.00030981928135</v>
      </c>
      <c r="Z44" s="33" t="n">
        <f aca="false">X44/INDEX($Y$12:$Y$71,MAX($B$6,MIN($A44,$B$7)))</f>
        <v>0.92378992480768</v>
      </c>
      <c r="AA44" s="27" t="n">
        <f aca="false">C44/Z44</f>
        <v>307.429202650294</v>
      </c>
      <c r="AB44" s="27" t="n">
        <f aca="false">IF(AND($A44&gt;=$B$6,$A44&lt;=$B$7),SUMPRODUCT(Bobot_Filter!$B$20:$B$32,AA38:AA50),"")</f>
        <v>303.602880633149</v>
      </c>
      <c r="AC44" s="25" t="n">
        <f aca="false">IF(ISNUMBER(AB44),AA44/AB44,"")</f>
        <v>1.01260304911852</v>
      </c>
      <c r="AD44" s="27" t="n">
        <f aca="false">$B$4+$B$3*A44</f>
        <v>300.606045591286</v>
      </c>
      <c r="AE44" s="27" t="n">
        <f aca="false">AD44*Z44</f>
        <v>277.696836253508</v>
      </c>
      <c r="AF44" s="28" t="n">
        <f aca="false">ABS(C44-AE44)/C44</f>
        <v>0.0221942385439866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Data!D38</f>
        <v>358</v>
      </c>
      <c r="D45" s="27" t="n">
        <f aca="false">IF(AND($A45&gt;=$B$6,$A45&lt;=$B$7),SUMPRODUCT(Bobot_Filter!$B$4:$B$16,C39:C51),"")</f>
        <v>297.458333333333</v>
      </c>
      <c r="E45" s="25" t="n">
        <f aca="false">IF(ISNUMBER(D45),C45/D45,"")</f>
        <v>1.20352990614932</v>
      </c>
      <c r="F45" s="25" t="n">
        <f aca="false">IF(AND($A45+(-24)&gt;=1,$A45+(-24)&lt;=$B$8),INDEX($E$12:$E$71,$A45+(-24)),"")</f>
        <v>0.909567092897859</v>
      </c>
      <c r="G45" s="25" t="n">
        <f aca="false">IF(AND($A45+(-12)&gt;=1,$A45+(-12)&lt;=$B$8),INDEX($E$12:$E$71,$A45+(-12)),"")</f>
        <v>1.05117239345229</v>
      </c>
      <c r="H45" s="25" t="n">
        <f aca="false">IF(AND($A45+(0)&gt;=1,$A45+(0)&lt;=$B$8),INDEX($E$12:$E$71,$A45+(0)),"")</f>
        <v>1.20352990614932</v>
      </c>
      <c r="I45" s="25" t="n">
        <f aca="false">IF(AND($A45+(12)&gt;=1,$A45+(12)&lt;=$B$8),INDEX($E$12:$E$71,$A45+(12)),"")</f>
        <v>1.24015899474292</v>
      </c>
      <c r="J45" s="25" t="str">
        <f aca="false">IF(AND($A45+(24)&gt;=1,$A45+(24)&lt;=$B$8),INDEX($E$12:$E$71,$A45+(24)),"")</f>
        <v/>
      </c>
      <c r="K45" s="25" t="n">
        <f aca="false">IF(SUMPRODUCT(Bobot_Filter!$B$38:$F$38,ISNUMBER(F45:J45)*1)&gt;0,SUMPRODUCT(Bobot_Filter!$B$38:$F$38,F45:J45)/SUMPRODUCT(Bobot_Filter!$B$38:$F$38,ISNUMBER(F45:J45)*1),"")</f>
        <v>1.13785244846703</v>
      </c>
      <c r="L45" s="25" t="n">
        <f aca="false">IF(AND($A45&gt;=$B$6,$A45&lt;=$B$7),SUMPRODUCT(Bobot_Filter!$B$4:$B$16,K39:K51),"")</f>
        <v>1.00004618927382</v>
      </c>
      <c r="M45" s="25" t="n">
        <f aca="false">K45/INDEX($L$12:$L$71,MAX($B$6,MIN($A45,$B$7)))</f>
        <v>1.13779989431616</v>
      </c>
      <c r="N45" s="27" t="n">
        <f aca="false">C45/M45</f>
        <v>314.642321368085</v>
      </c>
      <c r="O45" s="27" t="n">
        <f aca="false">IF(AND($A45&gt;=$B$6,$A45&lt;=$B$7),SUMPRODUCT(Bobot_Filter!$B$20:$B$32,N39:N51),"")</f>
        <v>301.094521446816</v>
      </c>
      <c r="P45" s="25" t="n">
        <f aca="false">IF(ISNUMBER(O45),C45/O45,"")</f>
        <v>1.18899539679348</v>
      </c>
      <c r="Q45" s="25" t="str">
        <f aca="false">IF(AND($A45+(-36)&gt;=1,$A45+(-36)&lt;=$B$8),INDEX($P$12:$P$71,$A45+(-36)),"")</f>
        <v/>
      </c>
      <c r="R45" s="25" t="n">
        <f aca="false">IF(AND($A45+(-24)&gt;=1,$A45+(-24)&lt;=$B$8),INDEX($P$12:$P$71,$A45+(-24)),"")</f>
        <v>0.919872795552767</v>
      </c>
      <c r="S45" s="25" t="n">
        <f aca="false">IF(AND($A45+(-12)&gt;=1,$A45+(-12)&lt;=$B$8),INDEX($P$12:$P$71,$A45+(-12)),"")</f>
        <v>1.06656568756271</v>
      </c>
      <c r="T45" s="25" t="n">
        <f aca="false">IF(AND($A45+(0)&gt;=1,$A45+(0)&lt;=$B$8),INDEX($P$12:$P$71,$A45+(0)),"")</f>
        <v>1.18899539679348</v>
      </c>
      <c r="U45" s="25" t="n">
        <f aca="false">IF(AND($A45+(12)&gt;=1,$A45+(12)&lt;=$B$8),INDEX($P$12:$P$71,$A45+(12)),"")</f>
        <v>1.2466261354919</v>
      </c>
      <c r="V45" s="25" t="str">
        <f aca="false">IF(AND($A45+(24)&gt;=1,$A45+(24)&lt;=$B$8),INDEX($P$12:$P$71,$A45+(24)),"")</f>
        <v/>
      </c>
      <c r="W45" s="25" t="str">
        <f aca="false">IF(AND($A45+(36)&gt;=1,$A45+(36)&lt;=$B$8),INDEX($P$12:$P$71,$A45+(36)),"")</f>
        <v/>
      </c>
      <c r="X45" s="25" t="n">
        <f aca="false">IF(SUMPRODUCT(Bobot_Filter!$B$43:$H$43,ISNUMBER(Q45:W45)*1)&gt;0,SUMPRODUCT(Bobot_Filter!$B$43:$H$43,Q45:W45)/SUMPRODUCT(Bobot_Filter!$B$43:$H$43,ISNUMBER(Q45:W45)*1),"")</f>
        <v>1.12239156824089</v>
      </c>
      <c r="Y45" s="25" t="n">
        <f aca="false">IF(AND($A45&gt;=$B$6,$A45&lt;=$B$7),SUMPRODUCT(Bobot_Filter!$B$4:$B$16,X39:X51),"")</f>
        <v>1.00041334820916</v>
      </c>
      <c r="Z45" s="33" t="n">
        <f aca="false">X45/INDEX($Y$12:$Y$71,MAX($B$6,MIN($A45,$B$7)))</f>
        <v>1.12192782138512</v>
      </c>
      <c r="AA45" s="27" t="n">
        <f aca="false">C45/Z45</f>
        <v>319.093611171901</v>
      </c>
      <c r="AB45" s="27" t="n">
        <f aca="false">IF(AND($A45&gt;=$B$6,$A45&lt;=$B$7),SUMPRODUCT(Bobot_Filter!$B$20:$B$32,AA39:AA51),"")</f>
        <v>301.546957796562</v>
      </c>
      <c r="AC45" s="25" t="n">
        <f aca="false">IF(ISNUMBER(AB45),AA45/AB45,"")</f>
        <v>1.05818879256337</v>
      </c>
      <c r="AD45" s="27" t="n">
        <f aca="false">$B$4+$B$3*A45</f>
        <v>302.155115210161</v>
      </c>
      <c r="AE45" s="27" t="n">
        <f aca="false">AD45*Z45</f>
        <v>338.996230128104</v>
      </c>
      <c r="AF45" s="28" t="n">
        <f aca="false">ABS(C45-AE45)/C45</f>
        <v>0.053083156066748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Data!D39</f>
        <v>321</v>
      </c>
      <c r="D46" s="27" t="n">
        <f aca="false">IF(AND($A46&gt;=$B$6,$A46&lt;=$B$7),SUMPRODUCT(Bobot_Filter!$B$4:$B$16,C40:C52),"")</f>
        <v>299.083333333333</v>
      </c>
      <c r="E46" s="25" t="n">
        <f aca="false">IF(ISNUMBER(D46),C46/D46,"")</f>
        <v>1.07327946503204</v>
      </c>
      <c r="F46" s="25" t="n">
        <f aca="false">IF(AND($A46+(-24)&gt;=1,$A46+(-24)&lt;=$B$8),INDEX($E$12:$E$71,$A46+(-24)),"")</f>
        <v>1.28227300802965</v>
      </c>
      <c r="G46" s="25" t="n">
        <f aca="false">IF(AND($A46+(-12)&gt;=1,$A46+(-12)&lt;=$B$8),INDEX($E$12:$E$71,$A46+(-12)),"")</f>
        <v>1.23834652594547</v>
      </c>
      <c r="H46" s="25" t="n">
        <f aca="false">IF(AND($A46+(0)&gt;=1,$A46+(0)&lt;=$B$8),INDEX($E$12:$E$71,$A46+(0)),"")</f>
        <v>1.07327946503204</v>
      </c>
      <c r="I46" s="25" t="n">
        <f aca="false">IF(AND($A46+(12)&gt;=1,$A46+(12)&lt;=$B$8),INDEX($E$12:$E$71,$A46+(12)),"")</f>
        <v>1.08434660181748</v>
      </c>
      <c r="J46" s="25" t="str">
        <f aca="false">IF(AND($A46+(24)&gt;=1,$A46+(24)&lt;=$B$8),INDEX($E$12:$E$71,$A46+(24)),"")</f>
        <v/>
      </c>
      <c r="K46" s="25" t="n">
        <f aca="false">IF(SUMPRODUCT(Bobot_Filter!$B$38:$F$38,ISNUMBER(F46:J46)*1)&gt;0,SUMPRODUCT(Bobot_Filter!$B$38:$F$38,F46:J46)/SUMPRODUCT(Bobot_Filter!$B$38:$F$38,ISNUMBER(F46:J46)*1),"")</f>
        <v>1.14343720733146</v>
      </c>
      <c r="L46" s="25" t="n">
        <f aca="false">IF(AND($A46&gt;=$B$6,$A46&lt;=$B$7),SUMPRODUCT(Bobot_Filter!$B$4:$B$16,K40:K52),"")</f>
        <v>1.00019143629376</v>
      </c>
      <c r="M46" s="25" t="n">
        <f aca="false">K46/INDEX($L$12:$L$71,MAX($B$6,MIN($A46,$B$7)))</f>
        <v>1.14321835384684</v>
      </c>
      <c r="N46" s="27" t="n">
        <f aca="false">C46/M46</f>
        <v>280.786254804132</v>
      </c>
      <c r="O46" s="27" t="n">
        <f aca="false">IF(AND($A46&gt;=$B$6,$A46&lt;=$B$7),SUMPRODUCT(Bobot_Filter!$B$20:$B$32,N40:N52),"")</f>
        <v>297.890168289333</v>
      </c>
      <c r="P46" s="25" t="n">
        <f aca="false">IF(ISNUMBER(O46),C46/O46,"")</f>
        <v>1.077578363339</v>
      </c>
      <c r="Q46" s="25" t="str">
        <f aca="false">IF(AND($A46+(-36)&gt;=1,$A46+(-36)&lt;=$B$8),INDEX($P$12:$P$71,$A46+(-36)),"")</f>
        <v/>
      </c>
      <c r="R46" s="25" t="n">
        <f aca="false">IF(AND($A46+(-24)&gt;=1,$A46+(-24)&lt;=$B$8),INDEX($P$12:$P$71,$A46+(-24)),"")</f>
        <v>1.27947546752783</v>
      </c>
      <c r="S46" s="25" t="n">
        <f aca="false">IF(AND($A46+(-12)&gt;=1,$A46+(-12)&lt;=$B$8),INDEX($P$12:$P$71,$A46+(-12)),"")</f>
        <v>1.25048286149846</v>
      </c>
      <c r="T46" s="25" t="n">
        <f aca="false">IF(AND($A46+(0)&gt;=1,$A46+(0)&lt;=$B$8),INDEX($P$12:$P$71,$A46+(0)),"")</f>
        <v>1.077578363339</v>
      </c>
      <c r="U46" s="25" t="n">
        <f aca="false">IF(AND($A46+(12)&gt;=1,$A46+(12)&lt;=$B$8),INDEX($P$12:$P$71,$A46+(12)),"")</f>
        <v>1.07812457738207</v>
      </c>
      <c r="V46" s="25" t="str">
        <f aca="false">IF(AND($A46+(24)&gt;=1,$A46+(24)&lt;=$B$8),INDEX($P$12:$P$71,$A46+(24)),"")</f>
        <v/>
      </c>
      <c r="W46" s="25" t="str">
        <f aca="false">IF(AND($A46+(36)&gt;=1,$A46+(36)&lt;=$B$8),INDEX($P$12:$P$71,$A46+(36)),"")</f>
        <v/>
      </c>
      <c r="X46" s="25" t="n">
        <f aca="false">IF(SUMPRODUCT(Bobot_Filter!$B$43:$H$43,ISNUMBER(Q46:W46)*1)&gt;0,SUMPRODUCT(Bobot_Filter!$B$43:$H$43,Q46:W46)/SUMPRODUCT(Bobot_Filter!$B$43:$H$43,ISNUMBER(Q46:W46)*1),"")</f>
        <v>1.16159166742857</v>
      </c>
      <c r="Y46" s="25" t="n">
        <f aca="false">IF(AND($A46&gt;=$B$6,$A46&lt;=$B$7),SUMPRODUCT(Bobot_Filter!$B$4:$B$16,X40:X52),"")</f>
        <v>1.00027393527312</v>
      </c>
      <c r="Z46" s="33" t="n">
        <f aca="false">X46/INDEX($Y$12:$Y$71,MAX($B$6,MIN($A46,$B$7)))</f>
        <v>1.16127355364048</v>
      </c>
      <c r="AA46" s="27" t="n">
        <f aca="false">C46/Z46</f>
        <v>276.42065815905</v>
      </c>
      <c r="AB46" s="27" t="n">
        <f aca="false">IF(AND($A46&gt;=$B$6,$A46&lt;=$B$7),SUMPRODUCT(Bobot_Filter!$B$20:$B$32,AA40:AA52),"")</f>
        <v>297.584440493044</v>
      </c>
      <c r="AC46" s="25" t="n">
        <f aca="false">IF(ISNUMBER(AB46),AA46/AB46,"")</f>
        <v>0.928881421693523</v>
      </c>
      <c r="AD46" s="27" t="n">
        <f aca="false">$B$4+$B$3*A46</f>
        <v>303.704184829036</v>
      </c>
      <c r="AE46" s="27" t="n">
        <f aca="false">AD46*Z46</f>
        <v>352.683637971899</v>
      </c>
      <c r="AF46" s="28" t="n">
        <f aca="false">ABS(C46-AE46)/C46</f>
        <v>0.0987029220308378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Data!D40</f>
        <v>285</v>
      </c>
      <c r="D47" s="27" t="n">
        <f aca="false">IF(AND($A47&gt;=$B$6,$A47&lt;=$B$7),SUMPRODUCT(Bobot_Filter!$B$4:$B$16,C41:C53),"")</f>
        <v>300.5</v>
      </c>
      <c r="E47" s="25" t="n">
        <f aca="false">IF(ISNUMBER(D47),C47/D47,"")</f>
        <v>0.948419301164726</v>
      </c>
      <c r="F47" s="25" t="n">
        <f aca="false">IF(AND($A47+(-24)&gt;=1,$A47+(-24)&lt;=$B$8),INDEX($E$12:$E$71,$A47+(-24)),"")</f>
        <v>1.06756964752963</v>
      </c>
      <c r="G47" s="25" t="n">
        <f aca="false">IF(AND($A47+(-12)&gt;=1,$A47+(-12)&lt;=$B$8),INDEX($E$12:$E$71,$A47+(-12)),"")</f>
        <v>0.916861826697892</v>
      </c>
      <c r="H47" s="25" t="n">
        <f aca="false">IF(AND($A47+(0)&gt;=1,$A47+(0)&lt;=$B$8),INDEX($E$12:$E$71,$A47+(0)),"")</f>
        <v>0.948419301164726</v>
      </c>
      <c r="I47" s="25" t="n">
        <f aca="false">IF(AND($A47+(12)&gt;=1,$A47+(12)&lt;=$B$8),INDEX($E$12:$E$71,$A47+(12)),"")</f>
        <v>0.849828047382499</v>
      </c>
      <c r="J47" s="25" t="str">
        <f aca="false">IF(AND($A47+(24)&gt;=1,$A47+(24)&lt;=$B$8),INDEX($E$12:$E$71,$A47+(24)),"")</f>
        <v/>
      </c>
      <c r="K47" s="25" t="n">
        <f aca="false">IF(SUMPRODUCT(Bobot_Filter!$B$38:$F$38,ISNUMBER(F47:J47)*1)&gt;0,SUMPRODUCT(Bobot_Filter!$B$38:$F$38,F47:J47)/SUMPRODUCT(Bobot_Filter!$B$38:$F$38,ISNUMBER(F47:J47)*1),"")</f>
        <v>0.930775912398074</v>
      </c>
      <c r="L47" s="25" t="n">
        <f aca="false">IF(AND($A47&gt;=$B$6,$A47&lt;=$B$7),SUMPRODUCT(Bobot_Filter!$B$4:$B$16,K41:K53),"")</f>
        <v>1.00002228991108</v>
      </c>
      <c r="M47" s="25" t="n">
        <f aca="false">K47/INDEX($L$12:$L$71,MAX($B$6,MIN($A47,$B$7)))</f>
        <v>0.930755165948186</v>
      </c>
      <c r="N47" s="27" t="n">
        <f aca="false">C47/M47</f>
        <v>306.202974129789</v>
      </c>
      <c r="O47" s="27" t="n">
        <f aca="false">IF(AND($A47&gt;=$B$6,$A47&lt;=$B$7),SUMPRODUCT(Bobot_Filter!$B$20:$B$32,N41:N53),"")</f>
        <v>294.861594051187</v>
      </c>
      <c r="P47" s="25" t="n">
        <f aca="false">IF(ISNUMBER(O47),C47/O47,"")</f>
        <v>0.966555176224561</v>
      </c>
      <c r="Q47" s="25" t="str">
        <f aca="false">IF(AND($A47+(-36)&gt;=1,$A47+(-36)&lt;=$B$8),INDEX($P$12:$P$71,$A47+(-36)),"")</f>
        <v/>
      </c>
      <c r="R47" s="25" t="n">
        <f aca="false">IF(AND($A47+(-24)&gt;=1,$A47+(-24)&lt;=$B$8),INDEX($P$12:$P$71,$A47+(-24)),"")</f>
        <v>1.06089618288648</v>
      </c>
      <c r="S47" s="25" t="n">
        <f aca="false">IF(AND($A47+(-12)&gt;=1,$A47+(-12)&lt;=$B$8),INDEX($P$12:$P$71,$A47+(-12)),"")</f>
        <v>0.914764667593264</v>
      </c>
      <c r="T47" s="25" t="n">
        <f aca="false">IF(AND($A47+(0)&gt;=1,$A47+(0)&lt;=$B$8),INDEX($P$12:$P$71,$A47+(0)),"")</f>
        <v>0.966555176224561</v>
      </c>
      <c r="U47" s="25" t="n">
        <f aca="false">IF(AND($A47+(12)&gt;=1,$A47+(12)&lt;=$B$8),INDEX($P$12:$P$71,$A47+(12)),"")</f>
        <v>0.839750562477375</v>
      </c>
      <c r="V47" s="25" t="str">
        <f aca="false">IF(AND($A47+(24)&gt;=1,$A47+(24)&lt;=$B$8),INDEX($P$12:$P$71,$A47+(24)),"")</f>
        <v/>
      </c>
      <c r="W47" s="25" t="str">
        <f aca="false">IF(AND($A47+(36)&gt;=1,$A47+(36)&lt;=$B$8),INDEX($P$12:$P$71,$A47+(36)),"")</f>
        <v/>
      </c>
      <c r="X47" s="25" t="n">
        <f aca="false">IF(SUMPRODUCT(Bobot_Filter!$B$43:$H$43,ISNUMBER(Q47:W47)*1)&gt;0,SUMPRODUCT(Bobot_Filter!$B$43:$H$43,Q47:W47)/SUMPRODUCT(Bobot_Filter!$B$43:$H$43,ISNUMBER(Q47:W47)*1),"")</f>
        <v>0.935000325878051</v>
      </c>
      <c r="Y47" s="25" t="n">
        <f aca="false">IF(AND($A47&gt;=$B$6,$A47&lt;=$B$7),SUMPRODUCT(Bobot_Filter!$B$4:$B$16,X41:X53),"")</f>
        <v>0.999995562275893</v>
      </c>
      <c r="Z47" s="33" t="n">
        <f aca="false">X47/INDEX($Y$12:$Y$71,MAX($B$6,MIN($A47,$B$7)))</f>
        <v>0.93500447516995</v>
      </c>
      <c r="AA47" s="27" t="n">
        <f aca="false">C47/Z47</f>
        <v>304.811375312613</v>
      </c>
      <c r="AB47" s="27" t="n">
        <f aca="false">IF(AND($A47&gt;=$B$6,$A47&lt;=$B$7),SUMPRODUCT(Bobot_Filter!$B$20:$B$32,AA41:AA53),"")</f>
        <v>293.977685950284</v>
      </c>
      <c r="AC47" s="25" t="n">
        <f aca="false">IF(ISNUMBER(AB47),AA47/AB47,"")</f>
        <v>1.03685208054927</v>
      </c>
      <c r="AD47" s="27" t="n">
        <f aca="false">$B$4+$B$3*A47</f>
        <v>305.253254447911</v>
      </c>
      <c r="AE47" s="27" t="n">
        <f aca="false">AD47*Z47</f>
        <v>285.413158968988</v>
      </c>
      <c r="AF47" s="28" t="n">
        <f aca="false">ABS(C47-AE47)/C47</f>
        <v>0.00144968059294055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Data!D41</f>
        <v>270</v>
      </c>
      <c r="D48" s="27" t="n">
        <f aca="false">IF(AND($A48&gt;=$B$6,$A48&lt;=$B$7),SUMPRODUCT(Bobot_Filter!$B$4:$B$16,C42:C54),"")</f>
        <v>301.458333333333</v>
      </c>
      <c r="E48" s="25" t="n">
        <f aca="false">IF(ISNUMBER(D48),C48/D48,"")</f>
        <v>0.895646164478231</v>
      </c>
      <c r="F48" s="25" t="n">
        <f aca="false">IF(AND($A48+(-24)&gt;=1,$A48+(-24)&lt;=$B$8),INDEX($E$12:$E$71,$A48+(-24)),"")</f>
        <v>0.921382685836647</v>
      </c>
      <c r="G48" s="25" t="n">
        <f aca="false">IF(AND($A48+(-12)&gt;=1,$A48+(-12)&lt;=$B$8),INDEX($E$12:$E$71,$A48+(-12)),"")</f>
        <v>0.954525515426232</v>
      </c>
      <c r="H48" s="25" t="n">
        <f aca="false">IF(AND($A48+(0)&gt;=1,$A48+(0)&lt;=$B$8),INDEX($E$12:$E$71,$A48+(0)),"")</f>
        <v>0.895646164478231</v>
      </c>
      <c r="I48" s="25" t="n">
        <f aca="false">IF(AND($A48+(12)&gt;=1,$A48+(12)&lt;=$B$8),INDEX($E$12:$E$71,$A48+(12)),"")</f>
        <v>1.0010111223458</v>
      </c>
      <c r="J48" s="25" t="str">
        <f aca="false">IF(AND($A48+(24)&gt;=1,$A48+(24)&lt;=$B$8),INDEX($E$12:$E$71,$A48+(24)),"")</f>
        <v/>
      </c>
      <c r="K48" s="25" t="n">
        <f aca="false">IF(SUMPRODUCT(Bobot_Filter!$B$38:$F$38,ISNUMBER(F48:J48)*1)&gt;0,SUMPRODUCT(Bobot_Filter!$B$38:$F$38,F48:J48)/SUMPRODUCT(Bobot_Filter!$B$38:$F$38,ISNUMBER(F48:J48)*1),"")</f>
        <v>0.939924306851926</v>
      </c>
      <c r="L48" s="25" t="n">
        <f aca="false">IF(AND($A48&gt;=$B$6,$A48&lt;=$B$7),SUMPRODUCT(Bobot_Filter!$B$4:$B$16,K42:K54),"")</f>
        <v>0.999259458931826</v>
      </c>
      <c r="M48" s="25" t="n">
        <f aca="false">K48/INDEX($L$12:$L$71,MAX($B$6,MIN($A48,$B$7)))</f>
        <v>0.940620875239624</v>
      </c>
      <c r="N48" s="27" t="n">
        <f aca="false">C48/M48</f>
        <v>287.04444809522</v>
      </c>
      <c r="O48" s="27" t="n">
        <f aca="false">IF(AND($A48&gt;=$B$6,$A48&lt;=$B$7),SUMPRODUCT(Bobot_Filter!$B$20:$B$32,N42:N54),"")</f>
        <v>294.23051547548</v>
      </c>
      <c r="P48" s="25" t="n">
        <f aca="false">IF(ISNUMBER(O48),C48/O48,"")</f>
        <v>0.917647850236325</v>
      </c>
      <c r="Q48" s="25" t="str">
        <f aca="false">IF(AND($A48+(-36)&gt;=1,$A48+(-36)&lt;=$B$8),INDEX($P$12:$P$71,$A48+(-36)),"")</f>
        <v/>
      </c>
      <c r="R48" s="25" t="n">
        <f aca="false">IF(AND($A48+(-24)&gt;=1,$A48+(-24)&lt;=$B$8),INDEX($P$12:$P$71,$A48+(-24)),"")</f>
        <v>0.918926826920521</v>
      </c>
      <c r="S48" s="25" t="n">
        <f aca="false">IF(AND($A48+(-12)&gt;=1,$A48+(-12)&lt;=$B$8),INDEX($P$12:$P$71,$A48+(-12)),"")</f>
        <v>0.942097421783349</v>
      </c>
      <c r="T48" s="25" t="n">
        <f aca="false">IF(AND($A48+(0)&gt;=1,$A48+(0)&lt;=$B$8),INDEX($P$12:$P$71,$A48+(0)),"")</f>
        <v>0.917647850236325</v>
      </c>
      <c r="U48" s="25" t="n">
        <f aca="false">IF(AND($A48+(12)&gt;=1,$A48+(12)&lt;=$B$8),INDEX($P$12:$P$71,$A48+(12)),"")</f>
        <v>0.989354482808066</v>
      </c>
      <c r="V48" s="25" t="str">
        <f aca="false">IF(AND($A48+(24)&gt;=1,$A48+(24)&lt;=$B$8),INDEX($P$12:$P$71,$A48+(24)),"")</f>
        <v/>
      </c>
      <c r="W48" s="25" t="str">
        <f aca="false">IF(AND($A48+(36)&gt;=1,$A48+(36)&lt;=$B$8),INDEX($P$12:$P$71,$A48+(36)),"")</f>
        <v/>
      </c>
      <c r="X48" s="25" t="n">
        <f aca="false">IF(SUMPRODUCT(Bobot_Filter!$B$43:$H$43,ISNUMBER(Q48:W48)*1)&gt;0,SUMPRODUCT(Bobot_Filter!$B$43:$H$43,Q48:W48)/SUMPRODUCT(Bobot_Filter!$B$43:$H$43,ISNUMBER(Q48:W48)*1),"")</f>
        <v>0.944104810756751</v>
      </c>
      <c r="Y48" s="25" t="n">
        <f aca="false">IF(AND($A48&gt;=$B$6,$A48&lt;=$B$7),SUMPRODUCT(Bobot_Filter!$B$4:$B$16,X42:X54),"")</f>
        <v>0.999577963760806</v>
      </c>
      <c r="Z48" s="33" t="n">
        <f aca="false">X48/INDEX($Y$12:$Y$71,MAX($B$6,MIN($A48,$B$7)))</f>
        <v>0.944503425430326</v>
      </c>
      <c r="AA48" s="27" t="n">
        <f aca="false">C48/Z48</f>
        <v>285.864500572865</v>
      </c>
      <c r="AB48" s="27" t="n">
        <f aca="false">IF(AND($A48&gt;=$B$6,$A48&lt;=$B$7),SUMPRODUCT(Bobot_Filter!$B$20:$B$32,AA42:AA54),"")</f>
        <v>293.208505279201</v>
      </c>
      <c r="AC48" s="25" t="n">
        <f aca="false">IF(ISNUMBER(AB48),AA48/AB48,"")</f>
        <v>0.974952961547474</v>
      </c>
      <c r="AD48" s="27" t="n">
        <f aca="false">$B$4+$B$3*A48</f>
        <v>306.802324066786</v>
      </c>
      <c r="AE48" s="27" t="n">
        <f aca="false">AD48*Z48</f>
        <v>289.775846011064</v>
      </c>
      <c r="AF48" s="28" t="n">
        <f aca="false">ABS(C48-AE48)/C48</f>
        <v>0.0732438741150514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Data!D42</f>
        <v>299</v>
      </c>
      <c r="D49" s="27" t="n">
        <f aca="false">IF(AND($A49&gt;=$B$6,$A49&lt;=$B$7),SUMPRODUCT(Bobot_Filter!$B$4:$B$16,C43:C55),"")</f>
        <v>303.083333333333</v>
      </c>
      <c r="E49" s="25" t="n">
        <f aca="false">IF(ISNUMBER(D49),C49/D49,"")</f>
        <v>0.9865273577124</v>
      </c>
      <c r="F49" s="25" t="n">
        <f aca="false">IF(AND($A49+(-24)&gt;=1,$A49+(-24)&lt;=$B$8),INDEX($E$12:$E$71,$A49+(-24)),"")</f>
        <v>1.01558203483043</v>
      </c>
      <c r="G49" s="25" t="n">
        <f aca="false">IF(AND($A49+(-12)&gt;=1,$A49+(-12)&lt;=$B$8),INDEX($E$12:$E$71,$A49+(-12)),"")</f>
        <v>1.11053089643168</v>
      </c>
      <c r="H49" s="25" t="n">
        <f aca="false">IF(AND($A49+(0)&gt;=1,$A49+(0)&lt;=$B$8),INDEX($E$12:$E$71,$A49+(0)),"")</f>
        <v>0.9865273577124</v>
      </c>
      <c r="I49" s="25" t="n">
        <f aca="false">IF(AND($A49+(12)&gt;=1,$A49+(12)&lt;=$B$8),INDEX($E$12:$E$71,$A49+(12)),"")</f>
        <v>1.13536016147345</v>
      </c>
      <c r="J49" s="25" t="str">
        <f aca="false">IF(AND($A49+(24)&gt;=1,$A49+(24)&lt;=$B$8),INDEX($E$12:$E$71,$A49+(24)),"")</f>
        <v/>
      </c>
      <c r="K49" s="25" t="n">
        <f aca="false">IF(SUMPRODUCT(Bobot_Filter!$B$38:$F$38,ISNUMBER(F49:J49)*1)&gt;0,SUMPRODUCT(Bobot_Filter!$B$38:$F$38,F49:J49)/SUMPRODUCT(Bobot_Filter!$B$38:$F$38,ISNUMBER(F49:J49)*1),"")</f>
        <v>1.05836827797224</v>
      </c>
      <c r="L49" s="25" t="n">
        <f aca="false">IF(AND($A49&gt;=$B$6,$A49&lt;=$B$7),SUMPRODUCT(Bobot_Filter!$B$4:$B$16,K43:K55),"")</f>
        <v>0.999263767753132</v>
      </c>
      <c r="M49" s="25" t="n">
        <f aca="false">K49/INDEX($L$12:$L$71,MAX($B$6,MIN($A49,$B$7)))</f>
        <v>1.05914805692595</v>
      </c>
      <c r="N49" s="27" t="n">
        <f aca="false">C49/M49</f>
        <v>282.302363720339</v>
      </c>
      <c r="O49" s="27" t="n">
        <f aca="false">IF(AND($A49&gt;=$B$6,$A49&lt;=$B$7),SUMPRODUCT(Bobot_Filter!$B$20:$B$32,N43:N55),"")</f>
        <v>296.357068732799</v>
      </c>
      <c r="P49" s="25" t="n">
        <f aca="false">IF(ISNUMBER(O49),C49/O49,"")</f>
        <v>1.00891806386972</v>
      </c>
      <c r="Q49" s="25" t="str">
        <f aca="false">IF(AND($A49+(-36)&gt;=1,$A49+(-36)&lt;=$B$8),INDEX($P$12:$P$71,$A49+(-36)),"")</f>
        <v/>
      </c>
      <c r="R49" s="25" t="n">
        <f aca="false">IF(AND($A49+(-24)&gt;=1,$A49+(-24)&lt;=$B$8),INDEX($P$12:$P$71,$A49+(-24)),"")</f>
        <v>1.01100801136646</v>
      </c>
      <c r="S49" s="25" t="n">
        <f aca="false">IF(AND($A49+(-12)&gt;=1,$A49+(-12)&lt;=$B$8),INDEX($P$12:$P$71,$A49+(-12)),"")</f>
        <v>1.09753851884661</v>
      </c>
      <c r="T49" s="25" t="n">
        <f aca="false">IF(AND($A49+(0)&gt;=1,$A49+(0)&lt;=$B$8),INDEX($P$12:$P$71,$A49+(0)),"")</f>
        <v>1.00891806386972</v>
      </c>
      <c r="U49" s="25" t="n">
        <f aca="false">IF(AND($A49+(12)&gt;=1,$A49+(12)&lt;=$B$8),INDEX($P$12:$P$71,$A49+(12)),"")</f>
        <v>1.11673472309528</v>
      </c>
      <c r="V49" s="25" t="str">
        <f aca="false">IF(AND($A49+(24)&gt;=1,$A49+(24)&lt;=$B$8),INDEX($P$12:$P$71,$A49+(24)),"")</f>
        <v/>
      </c>
      <c r="W49" s="25" t="str">
        <f aca="false">IF(AND($A49+(36)&gt;=1,$A49+(36)&lt;=$B$8),INDEX($P$12:$P$71,$A49+(36)),"")</f>
        <v/>
      </c>
      <c r="X49" s="25" t="n">
        <f aca="false">IF(SUMPRODUCT(Bobot_Filter!$B$43:$H$43,ISNUMBER(Q49:W49)*1)&gt;0,SUMPRODUCT(Bobot_Filter!$B$43:$H$43,Q49:W49)/SUMPRODUCT(Bobot_Filter!$B$43:$H$43,ISNUMBER(Q49:W49)*1),"")</f>
        <v>1.06287181274252</v>
      </c>
      <c r="Y49" s="25" t="n">
        <f aca="false">IF(AND($A49&gt;=$B$6,$A49&lt;=$B$7),SUMPRODUCT(Bobot_Filter!$B$4:$B$16,X43:X55),"")</f>
        <v>0.999526270192724</v>
      </c>
      <c r="Z49" s="33" t="n">
        <f aca="false">X49/INDEX($Y$12:$Y$71,MAX($B$6,MIN($A49,$B$7)))</f>
        <v>1.0633755654442</v>
      </c>
      <c r="AA49" s="27" t="n">
        <f aca="false">C49/Z49</f>
        <v>281.180055021388</v>
      </c>
      <c r="AB49" s="27" t="n">
        <f aca="false">IF(AND($A49&gt;=$B$6,$A49&lt;=$B$7),SUMPRODUCT(Bobot_Filter!$B$20:$B$32,AA43:AA55),"")</f>
        <v>295.495026438817</v>
      </c>
      <c r="AC49" s="25" t="n">
        <f aca="false">IF(ISNUMBER(AB49),AA49/AB49,"")</f>
        <v>0.951555964951603</v>
      </c>
      <c r="AD49" s="27" t="n">
        <f aca="false">$B$4+$B$3*A49</f>
        <v>308.351393685661</v>
      </c>
      <c r="AE49" s="27" t="n">
        <f aca="false">AD49*Z49</f>
        <v>327.893337615997</v>
      </c>
      <c r="AF49" s="28" t="n">
        <f aca="false">ABS(C49-AE49)/C49</f>
        <v>0.0966332361739033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Data!D43</f>
        <v>286</v>
      </c>
      <c r="D50" s="27" t="n">
        <f aca="false">IF(AND($A50&gt;=$B$6,$A50&lt;=$B$7),SUMPRODUCT(Bobot_Filter!$B$4:$B$16,C44:C56),"")</f>
        <v>304.25</v>
      </c>
      <c r="E50" s="25" t="n">
        <f aca="false">IF(ISNUMBER(D50),C50/D50,"")</f>
        <v>0.940016433853739</v>
      </c>
      <c r="F50" s="25" t="n">
        <f aca="false">IF(AND($A50+(-24)&gt;=1,$A50+(-24)&lt;=$B$8),INDEX($E$12:$E$71,$A50+(-24)),"")</f>
        <v>0.93858845096242</v>
      </c>
      <c r="G50" s="25" t="n">
        <f aca="false">IF(AND($A50+(-12)&gt;=1,$A50+(-12)&lt;=$B$8),INDEX($E$12:$E$71,$A50+(-12)),"")</f>
        <v>0.883667621776504</v>
      </c>
      <c r="H50" s="25" t="n">
        <f aca="false">IF(AND($A50+(0)&gt;=1,$A50+(0)&lt;=$B$8),INDEX($E$12:$E$71,$A50+(0)),"")</f>
        <v>0.940016433853739</v>
      </c>
      <c r="I50" s="25" t="n">
        <f aca="false">IF(AND($A50+(12)&gt;=1,$A50+(12)&lt;=$B$8),INDEX($E$12:$E$71,$A50+(12)),"")</f>
        <v>0.955778894472362</v>
      </c>
      <c r="J50" s="25" t="str">
        <f aca="false">IF(AND($A50+(24)&gt;=1,$A50+(24)&lt;=$B$8),INDEX($E$12:$E$71,$A50+(24)),"")</f>
        <v/>
      </c>
      <c r="K50" s="25" t="n">
        <f aca="false">IF(SUMPRODUCT(Bobot_Filter!$B$38:$F$38,ISNUMBER(F50:J50)*1)&gt;0,SUMPRODUCT(Bobot_Filter!$B$38:$F$38,F50:J50)/SUMPRODUCT(Bobot_Filter!$B$38:$F$38,ISNUMBER(F50:J50)*1),"")</f>
        <v>0.929691348127671</v>
      </c>
      <c r="L50" s="25" t="n">
        <f aca="false">IF(AND($A50&gt;=$B$6,$A50&lt;=$B$7),SUMPRODUCT(Bobot_Filter!$B$4:$B$16,K44:K56),"")</f>
        <v>0.999700972595394</v>
      </c>
      <c r="M50" s="25" t="n">
        <f aca="false">K50/INDEX($L$12:$L$71,MAX($B$6,MIN($A50,$B$7)))</f>
        <v>0.929969434474025</v>
      </c>
      <c r="N50" s="27" t="n">
        <f aca="false">C50/M50</f>
        <v>307.536989279392</v>
      </c>
      <c r="O50" s="27" t="n">
        <f aca="false">IF(AND($A50&gt;=$B$6,$A50&lt;=$B$7),SUMPRODUCT(Bobot_Filter!$B$20:$B$32,N44:N56),"")</f>
        <v>300.748528906813</v>
      </c>
      <c r="P50" s="25" t="n">
        <f aca="false">IF(ISNUMBER(O50),C50/O50,"")</f>
        <v>0.950960595017964</v>
      </c>
      <c r="Q50" s="25" t="str">
        <f aca="false">IF(AND($A50+(-36)&gt;=1,$A50+(-36)&lt;=$B$8),INDEX($P$12:$P$71,$A50+(-36)),"")</f>
        <v/>
      </c>
      <c r="R50" s="25" t="n">
        <f aca="false">IF(AND($A50+(-24)&gt;=1,$A50+(-24)&lt;=$B$8),INDEX($P$12:$P$71,$A50+(-24)),"")</f>
        <v>0.931848654126192</v>
      </c>
      <c r="S50" s="25" t="n">
        <f aca="false">IF(AND($A50+(-12)&gt;=1,$A50+(-12)&lt;=$B$8),INDEX($P$12:$P$71,$A50+(-12)),"")</f>
        <v>0.882136881125933</v>
      </c>
      <c r="T50" s="25" t="n">
        <f aca="false">IF(AND($A50+(0)&gt;=1,$A50+(0)&lt;=$B$8),INDEX($P$12:$P$71,$A50+(0)),"")</f>
        <v>0.950960595017964</v>
      </c>
      <c r="U50" s="25" t="n">
        <f aca="false">IF(AND($A50+(12)&gt;=1,$A50+(12)&lt;=$B$8),INDEX($P$12:$P$71,$A50+(12)),"")</f>
        <v>0.942867951276267</v>
      </c>
      <c r="V50" s="25" t="str">
        <f aca="false">IF(AND($A50+(24)&gt;=1,$A50+(24)&lt;=$B$8),INDEX($P$12:$P$71,$A50+(24)),"")</f>
        <v/>
      </c>
      <c r="W50" s="25" t="str">
        <f aca="false">IF(AND($A50+(36)&gt;=1,$A50+(36)&lt;=$B$8),INDEX($P$12:$P$71,$A50+(36)),"")</f>
        <v/>
      </c>
      <c r="X50" s="25" t="n">
        <f aca="false">IF(SUMPRODUCT(Bobot_Filter!$B$43:$H$43,ISNUMBER(Q50:W50)*1)&gt;0,SUMPRODUCT(Bobot_Filter!$B$43:$H$43,Q50:W50)/SUMPRODUCT(Bobot_Filter!$B$43:$H$43,ISNUMBER(Q50:W50)*1),"")</f>
        <v>0.926508508228443</v>
      </c>
      <c r="Y50" s="25" t="n">
        <f aca="false">IF(AND($A50&gt;=$B$6,$A50&lt;=$B$7),SUMPRODUCT(Bobot_Filter!$B$4:$B$16,X44:X56),"")</f>
        <v>0.999869437506281</v>
      </c>
      <c r="Z50" s="33" t="n">
        <f aca="false">X50/INDEX($Y$12:$Y$71,MAX($B$6,MIN($A50,$B$7)))</f>
        <v>0.926629491285579</v>
      </c>
      <c r="AA50" s="27" t="n">
        <f aca="false">C50/Z50</f>
        <v>308.645475553786</v>
      </c>
      <c r="AB50" s="27" t="n">
        <f aca="false">IF(AND($A50&gt;=$B$6,$A50&lt;=$B$7),SUMPRODUCT(Bobot_Filter!$B$20:$B$32,AA44:AA56),"")</f>
        <v>300.264402414962</v>
      </c>
      <c r="AC50" s="25" t="n">
        <f aca="false">IF(ISNUMBER(AB50),AA50/AB50,"")</f>
        <v>1.02791231018867</v>
      </c>
      <c r="AD50" s="27" t="n">
        <f aca="false">$B$4+$B$3*A50</f>
        <v>309.900463304536</v>
      </c>
      <c r="AE50" s="27" t="n">
        <f aca="false">AD50*Z50</f>
        <v>287.162908661047</v>
      </c>
      <c r="AF50" s="28" t="n">
        <f aca="false">ABS(C50-AE50)/C50</f>
        <v>0.00406611419946572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Data!D44</f>
        <v>293</v>
      </c>
      <c r="D51" s="27" t="n">
        <f aca="false">IF(AND($A51&gt;=$B$6,$A51&lt;=$B$7),SUMPRODUCT(Bobot_Filter!$B$4:$B$16,C45:C57),"")</f>
        <v>306.541666666667</v>
      </c>
      <c r="E51" s="25" t="n">
        <f aca="false">IF(ISNUMBER(D51),C51/D51,"")</f>
        <v>0.955824384939514</v>
      </c>
      <c r="F51" s="25" t="n">
        <f aca="false">IF(AND($A51+(-24)&gt;=1,$A51+(-24)&lt;=$B$8),INDEX($E$12:$E$71,$A51+(-24)),"")</f>
        <v>0.897230210382927</v>
      </c>
      <c r="G51" s="25" t="n">
        <f aca="false">IF(AND($A51+(-12)&gt;=1,$A51+(-12)&lt;=$B$8),INDEX($E$12:$E$71,$A51+(-12)),"")</f>
        <v>0.970725498515062</v>
      </c>
      <c r="H51" s="25" t="n">
        <f aca="false">IF(AND($A51+(0)&gt;=1,$A51+(0)&lt;=$B$8),INDEX($E$12:$E$71,$A51+(0)),"")</f>
        <v>0.955824384939514</v>
      </c>
      <c r="I51" s="25" t="n">
        <f aca="false">IF(AND($A51+(12)&gt;=1,$A51+(12)&lt;=$B$8),INDEX($E$12:$E$71,$A51+(12)),"")</f>
        <v>0.917541229385307</v>
      </c>
      <c r="J51" s="25" t="str">
        <f aca="false">IF(AND($A51+(24)&gt;=1,$A51+(24)&lt;=$B$8),INDEX($E$12:$E$71,$A51+(24)),"")</f>
        <v/>
      </c>
      <c r="K51" s="25" t="n">
        <f aca="false">IF(SUMPRODUCT(Bobot_Filter!$B$38:$F$38,ISNUMBER(F51:J51)*1)&gt;0,SUMPRODUCT(Bobot_Filter!$B$38:$F$38,F51:J51)/SUMPRODUCT(Bobot_Filter!$B$38:$F$38,ISNUMBER(F51:J51)*1),"")</f>
        <v>0.942654602625276</v>
      </c>
      <c r="L51" s="25" t="n">
        <f aca="false">IF(AND($A51&gt;=$B$6,$A51&lt;=$B$7),SUMPRODUCT(Bobot_Filter!$B$4:$B$16,K45:K57),"")</f>
        <v>1.00209888291546</v>
      </c>
      <c r="M51" s="25" t="n">
        <f aca="false">K51/INDEX($L$12:$L$71,MAX($B$6,MIN($A51,$B$7)))</f>
        <v>0.940680224972171</v>
      </c>
      <c r="N51" s="27" t="n">
        <f aca="false">C51/M51</f>
        <v>311.476729521627</v>
      </c>
      <c r="O51" s="27" t="n">
        <f aca="false">IF(AND($A51&gt;=$B$6,$A51&lt;=$B$7),SUMPRODUCT(Bobot_Filter!$B$20:$B$32,N45:N57),"")</f>
        <v>305.338479531211</v>
      </c>
      <c r="P51" s="25" t="n">
        <f aca="false">IF(ISNUMBER(O51),C51/O51,"")</f>
        <v>0.95959081361067</v>
      </c>
      <c r="Q51" s="25" t="str">
        <f aca="false">IF(AND($A51+(-36)&gt;=1,$A51+(-36)&lt;=$B$8),INDEX($P$12:$P$71,$A51+(-36)),"")</f>
        <v/>
      </c>
      <c r="R51" s="25" t="n">
        <f aca="false">IF(AND($A51+(-24)&gt;=1,$A51+(-24)&lt;=$B$8),INDEX($P$12:$P$71,$A51+(-24)),"")</f>
        <v>0.896969462715834</v>
      </c>
      <c r="S51" s="25" t="n">
        <f aca="false">IF(AND($A51+(-12)&gt;=1,$A51+(-12)&lt;=$B$8),INDEX($P$12:$P$71,$A51+(-12)),"")</f>
        <v>0.980055871206336</v>
      </c>
      <c r="T51" s="25" t="n">
        <f aca="false">IF(AND($A51+(0)&gt;=1,$A51+(0)&lt;=$B$8),INDEX($P$12:$P$71,$A51+(0)),"")</f>
        <v>0.95959081361067</v>
      </c>
      <c r="U51" s="25" t="n">
        <f aca="false">IF(AND($A51+(12)&gt;=1,$A51+(12)&lt;=$B$8),INDEX($P$12:$P$71,$A51+(12)),"")</f>
        <v>0.913281802506942</v>
      </c>
      <c r="V51" s="25" t="str">
        <f aca="false">IF(AND($A51+(24)&gt;=1,$A51+(24)&lt;=$B$8),INDEX($P$12:$P$71,$A51+(24)),"")</f>
        <v/>
      </c>
      <c r="W51" s="25" t="str">
        <f aca="false">IF(AND($A51+(36)&gt;=1,$A51+(36)&lt;=$B$8),INDEX($P$12:$P$71,$A51+(36)),"")</f>
        <v/>
      </c>
      <c r="X51" s="25" t="n">
        <f aca="false">IF(SUMPRODUCT(Bobot_Filter!$B$43:$H$43,ISNUMBER(Q51:W51)*1)&gt;0,SUMPRODUCT(Bobot_Filter!$B$43:$H$43,Q51:W51)/SUMPRODUCT(Bobot_Filter!$B$43:$H$43,ISNUMBER(Q51:W51)*1),"")</f>
        <v>0.941156762491228</v>
      </c>
      <c r="Y51" s="25" t="n">
        <f aca="false">IF(AND($A51&gt;=$B$6,$A51&lt;=$B$7),SUMPRODUCT(Bobot_Filter!$B$4:$B$16,X45:X57),"")</f>
        <v>1.00111991083003</v>
      </c>
      <c r="Z51" s="33" t="n">
        <f aca="false">X51/INDEX($Y$12:$Y$71,MAX($B$6,MIN($A51,$B$7)))</f>
        <v>0.940103929918754</v>
      </c>
      <c r="AA51" s="27" t="n">
        <f aca="false">C51/Z51</f>
        <v>311.667668515461</v>
      </c>
      <c r="AB51" s="27" t="n">
        <f aca="false">IF(AND($A51&gt;=$B$6,$A51&lt;=$B$7),SUMPRODUCT(Bobot_Filter!$B$20:$B$32,AA45:AA57),"")</f>
        <v>304.996657858971</v>
      </c>
      <c r="AC51" s="25" t="n">
        <f aca="false">IF(ISNUMBER(AB51),AA51/AB51,"")</f>
        <v>1.02187240576116</v>
      </c>
      <c r="AD51" s="27" t="n">
        <f aca="false">$B$4+$B$3*A51</f>
        <v>311.449532923411</v>
      </c>
      <c r="AE51" s="27" t="n">
        <f aca="false">AD51*Z51</f>
        <v>292.794929872659</v>
      </c>
      <c r="AF51" s="28" t="n">
        <f aca="false">ABS(C51-AE51)/C51</f>
        <v>0.000699898045533209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Data!D45</f>
        <v>284</v>
      </c>
      <c r="D52" s="27" t="n">
        <f aca="false">IF(AND($A52&gt;=$B$6,$A52&lt;=$B$7),SUMPRODUCT(Bobot_Filter!$B$4:$B$16,C46:C58),"")</f>
        <v>309.75</v>
      </c>
      <c r="E52" s="25" t="n">
        <f aca="false">IF(ISNUMBER(D52),C52/D52,"")</f>
        <v>0.916868442292171</v>
      </c>
      <c r="F52" s="25" t="n">
        <f aca="false">IF(AND($A52+(-24)&gt;=1,$A52+(-24)&lt;=$B$8),INDEX($E$12:$E$71,$A52+(-24)),"")</f>
        <v>0.900360144057623</v>
      </c>
      <c r="G52" s="25" t="n">
        <f aca="false">IF(AND($A52+(-12)&gt;=1,$A52+(-12)&lt;=$B$8),INDEX($E$12:$E$71,$A52+(-12)),"")</f>
        <v>0.85171102661597</v>
      </c>
      <c r="H52" s="25" t="n">
        <f aca="false">IF(AND($A52+(0)&gt;=1,$A52+(0)&lt;=$B$8),INDEX($E$12:$E$71,$A52+(0)),"")</f>
        <v>0.916868442292171</v>
      </c>
      <c r="I52" s="25" t="n">
        <f aca="false">IF(AND($A52+(12)&gt;=1,$A52+(12)&lt;=$B$8),INDEX($E$12:$E$71,$A52+(12)),"")</f>
        <v>0.857680250783699</v>
      </c>
      <c r="J52" s="25" t="str">
        <f aca="false">IF(AND($A52+(24)&gt;=1,$A52+(24)&lt;=$B$8),INDEX($E$12:$E$71,$A52+(24)),"")</f>
        <v/>
      </c>
      <c r="K52" s="25" t="n">
        <f aca="false">IF(SUMPRODUCT(Bobot_Filter!$B$38:$F$38,ISNUMBER(F52:J52)*1)&gt;0,SUMPRODUCT(Bobot_Filter!$B$38:$F$38,F52:J52)/SUMPRODUCT(Bobot_Filter!$B$38:$F$38,ISNUMBER(F52:J52)*1),"")</f>
        <v>0.883718503216684</v>
      </c>
      <c r="L52" s="25" t="n">
        <f aca="false">IF(AND($A52&gt;=$B$6,$A52&lt;=$B$7),SUMPRODUCT(Bobot_Filter!$B$4:$B$16,K46:K58),"")</f>
        <v>1.00299413650331</v>
      </c>
      <c r="M52" s="25" t="n">
        <f aca="false">K52/INDEX($L$12:$L$71,MAX($B$6,MIN($A52,$B$7)))</f>
        <v>0.881080428144424</v>
      </c>
      <c r="N52" s="27" t="n">
        <f aca="false">C52/M52</f>
        <v>322.331527211552</v>
      </c>
      <c r="O52" s="27" t="n">
        <f aca="false">IF(AND($A52&gt;=$B$6,$A52&lt;=$B$7),SUMPRODUCT(Bobot_Filter!$B$20:$B$32,N46:N58),"")</f>
        <v>309.413115645291</v>
      </c>
      <c r="P52" s="25" t="n">
        <f aca="false">IF(ISNUMBER(O52),C52/O52,"")</f>
        <v>0.917866714886047</v>
      </c>
      <c r="Q52" s="25" t="str">
        <f aca="false">IF(AND($A52+(-36)&gt;=1,$A52+(-36)&lt;=$B$8),INDEX($P$12:$P$71,$A52+(-36)),"")</f>
        <v/>
      </c>
      <c r="R52" s="25" t="n">
        <f aca="false">IF(AND($A52+(-24)&gt;=1,$A52+(-24)&lt;=$B$8),INDEX($P$12:$P$71,$A52+(-24)),"")</f>
        <v>0.906224098324454</v>
      </c>
      <c r="S52" s="25" t="n">
        <f aca="false">IF(AND($A52+(-12)&gt;=1,$A52+(-12)&lt;=$B$8),INDEX($P$12:$P$71,$A52+(-12)),"")</f>
        <v>0.859196049380856</v>
      </c>
      <c r="T52" s="25" t="n">
        <f aca="false">IF(AND($A52+(0)&gt;=1,$A52+(0)&lt;=$B$8),INDEX($P$12:$P$71,$A52+(0)),"")</f>
        <v>0.917866714886047</v>
      </c>
      <c r="U52" s="25" t="n">
        <f aca="false">IF(AND($A52+(12)&gt;=1,$A52+(12)&lt;=$B$8),INDEX($P$12:$P$71,$A52+(12)),"")</f>
        <v>0.853106743420156</v>
      </c>
      <c r="V52" s="25" t="str">
        <f aca="false">IF(AND($A52+(24)&gt;=1,$A52+(24)&lt;=$B$8),INDEX($P$12:$P$71,$A52+(24)),"")</f>
        <v/>
      </c>
      <c r="W52" s="25" t="str">
        <f aca="false">IF(AND($A52+(36)&gt;=1,$A52+(36)&lt;=$B$8),INDEX($P$12:$P$71,$A52+(36)),"")</f>
        <v/>
      </c>
      <c r="X52" s="25" t="n">
        <f aca="false">IF(SUMPRODUCT(Bobot_Filter!$B$43:$H$43,ISNUMBER(Q52:W52)*1)&gt;0,SUMPRODUCT(Bobot_Filter!$B$43:$H$43,Q52:W52)/SUMPRODUCT(Bobot_Filter!$B$43:$H$43,ISNUMBER(Q52:W52)*1),"")</f>
        <v>0.882086974519099</v>
      </c>
      <c r="Y52" s="25" t="n">
        <f aca="false">IF(AND($A52&gt;=$B$6,$A52&lt;=$B$7),SUMPRODUCT(Bobot_Filter!$B$4:$B$16,X46:X58),"")</f>
        <v>1.00135865925224</v>
      </c>
      <c r="Z52" s="33" t="n">
        <f aca="false">X52/INDEX($Y$12:$Y$71,MAX($B$6,MIN($A52,$B$7)))</f>
        <v>0.88089014497342</v>
      </c>
      <c r="AA52" s="27" t="n">
        <f aca="false">C52/Z52</f>
        <v>322.401154809797</v>
      </c>
      <c r="AB52" s="27" t="n">
        <f aca="false">IF(AND($A52&gt;=$B$6,$A52&lt;=$B$7),SUMPRODUCT(Bobot_Filter!$B$20:$B$32,AA46:AA58),"")</f>
        <v>309.396381867226</v>
      </c>
      <c r="AC52" s="25" t="n">
        <f aca="false">IF(ISNUMBER(AB52),AA52/AB52,"")</f>
        <v>1.04203272470119</v>
      </c>
      <c r="AD52" s="27" t="n">
        <f aca="false">$B$4+$B$3*A52</f>
        <v>312.998602542286</v>
      </c>
      <c r="AE52" s="27" t="n">
        <f aca="false">AD52*Z52</f>
        <v>275.717384369952</v>
      </c>
      <c r="AF52" s="28" t="n">
        <f aca="false">ABS(C52-AE52)/C52</f>
        <v>0.0291641395424227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Data!D46</f>
        <v>274</v>
      </c>
      <c r="D53" s="27" t="n">
        <f aca="false">IF(AND($A53&gt;=$B$6,$A53&lt;=$B$7),SUMPRODUCT(Bobot_Filter!$B$4:$B$16,C47:C59),"")</f>
        <v>310.791666666667</v>
      </c>
      <c r="E53" s="25" t="n">
        <f aca="false">IF(ISNUMBER(D53),C53/D53,"")</f>
        <v>0.881619520042901</v>
      </c>
      <c r="F53" s="25" t="n">
        <f aca="false">IF(AND($A53+(-24)&gt;=1,$A53+(-24)&lt;=$B$8),INDEX($E$12:$E$71,$A53+(-24)),"")</f>
        <v>0.953929539295393</v>
      </c>
      <c r="G53" s="25" t="n">
        <f aca="false">IF(AND($A53+(-12)&gt;=1,$A53+(-12)&lt;=$B$8),INDEX($E$12:$E$71,$A53+(-12)),"")</f>
        <v>0.920214265576544</v>
      </c>
      <c r="H53" s="25" t="n">
        <f aca="false">IF(AND($A53+(0)&gt;=1,$A53+(0)&lt;=$B$8),INDEX($E$12:$E$71,$A53+(0)),"")</f>
        <v>0.881619520042901</v>
      </c>
      <c r="I53" s="25" t="n">
        <f aca="false">IF(AND($A53+(12)&gt;=1,$A53+(12)&lt;=$B$8),INDEX($E$12:$E$71,$A53+(12)),"")</f>
        <v>0.937570656952644</v>
      </c>
      <c r="J53" s="25" t="str">
        <f aca="false">IF(AND($A53+(24)&gt;=1,$A53+(24)&lt;=$B$8),INDEX($E$12:$E$71,$A53+(24)),"")</f>
        <v/>
      </c>
      <c r="K53" s="25" t="n">
        <f aca="false">IF(SUMPRODUCT(Bobot_Filter!$B$38:$F$38,ISNUMBER(F53:J53)*1)&gt;0,SUMPRODUCT(Bobot_Filter!$B$38:$F$38,F53:J53)/SUMPRODUCT(Bobot_Filter!$B$38:$F$38,ISNUMBER(F53:J53)*1),"")</f>
        <v>0.914294743060309</v>
      </c>
      <c r="L53" s="25" t="n">
        <f aca="false">IF(AND($A53&gt;=$B$6,$A53&lt;=$B$7),SUMPRODUCT(Bobot_Filter!$B$4:$B$16,K47:K59),"")</f>
        <v>0.999909769241226</v>
      </c>
      <c r="M53" s="25" t="n">
        <f aca="false">K53/INDEX($L$12:$L$71,MAX($B$6,MIN($A53,$B$7)))</f>
        <v>0.914377248013203</v>
      </c>
      <c r="N53" s="27" t="n">
        <f aca="false">C53/M53</f>
        <v>299.657499785082</v>
      </c>
      <c r="O53" s="27" t="n">
        <f aca="false">IF(AND($A53&gt;=$B$6,$A53&lt;=$B$7),SUMPRODUCT(Bobot_Filter!$B$20:$B$32,N47:N59),"")</f>
        <v>312.976777389018</v>
      </c>
      <c r="P53" s="25" t="n">
        <f aca="false">IF(ISNUMBER(O53),C53/O53,"")</f>
        <v>0.875464314911227</v>
      </c>
      <c r="Q53" s="25" t="str">
        <f aca="false">IF(AND($A53+(-36)&gt;=1,$A53+(-36)&lt;=$B$8),INDEX($P$12:$P$71,$A53+(-36)),"")</f>
        <v/>
      </c>
      <c r="R53" s="25" t="n">
        <f aca="false">IF(AND($A53+(-24)&gt;=1,$A53+(-24)&lt;=$B$8),INDEX($P$12:$P$71,$A53+(-24)),"")</f>
        <v>0.953882286155641</v>
      </c>
      <c r="S53" s="25" t="n">
        <f aca="false">IF(AND($A53+(-12)&gt;=1,$A53+(-12)&lt;=$B$8),INDEX($P$12:$P$71,$A53+(-12)),"")</f>
        <v>0.920120502119935</v>
      </c>
      <c r="T53" s="25" t="n">
        <f aca="false">IF(AND($A53+(0)&gt;=1,$A53+(0)&lt;=$B$8),INDEX($P$12:$P$71,$A53+(0)),"")</f>
        <v>0.875464314911227</v>
      </c>
      <c r="U53" s="25" t="n">
        <f aca="false">IF(AND($A53+(12)&gt;=1,$A53+(12)&lt;=$B$8),INDEX($P$12:$P$71,$A53+(12)),"")</f>
        <v>0.933509169790779</v>
      </c>
      <c r="V53" s="25" t="str">
        <f aca="false">IF(AND($A53+(24)&gt;=1,$A53+(24)&lt;=$B$8),INDEX($P$12:$P$71,$A53+(24)),"")</f>
        <v/>
      </c>
      <c r="W53" s="25" t="str">
        <f aca="false">IF(AND($A53+(36)&gt;=1,$A53+(36)&lt;=$B$8),INDEX($P$12:$P$71,$A53+(36)),"")</f>
        <v/>
      </c>
      <c r="X53" s="25" t="n">
        <f aca="false">IF(SUMPRODUCT(Bobot_Filter!$B$43:$H$43,ISNUMBER(Q53:W53)*1)&gt;0,SUMPRODUCT(Bobot_Filter!$B$43:$H$43,Q53:W53)/SUMPRODUCT(Bobot_Filter!$B$43:$H$43,ISNUMBER(Q53:W53)*1),"")</f>
        <v>0.917731502979737</v>
      </c>
      <c r="Y53" s="25" t="n">
        <f aca="false">IF(AND($A53&gt;=$B$6,$A53&lt;=$B$7),SUMPRODUCT(Bobot_Filter!$B$4:$B$16,X47:X59),"")</f>
        <v>0.999912200025888</v>
      </c>
      <c r="Z53" s="33" t="n">
        <f aca="false">X53/INDEX($Y$12:$Y$71,MAX($B$6,MIN($A53,$B$7)))</f>
        <v>0.917812086857202</v>
      </c>
      <c r="AA53" s="27" t="n">
        <f aca="false">C53/Z53</f>
        <v>298.536055390422</v>
      </c>
      <c r="AB53" s="27" t="n">
        <f aca="false">IF(AND($A53&gt;=$B$6,$A53&lt;=$B$7),SUMPRODUCT(Bobot_Filter!$B$20:$B$32,AA47:AA59),"")</f>
        <v>313.649186730013</v>
      </c>
      <c r="AC53" s="25" t="n">
        <f aca="false">IF(ISNUMBER(AB53),AA53/AB53,"")</f>
        <v>0.951815174471978</v>
      </c>
      <c r="AD53" s="27" t="n">
        <f aca="false">$B$4+$B$3*A53</f>
        <v>314.547672161161</v>
      </c>
      <c r="AE53" s="27" t="n">
        <f aca="false">AD53*Z53</f>
        <v>288.69565540231</v>
      </c>
      <c r="AF53" s="28" t="n">
        <f aca="false">ABS(C53-AE53)/C53</f>
        <v>0.0536337788405471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Data!D47</f>
        <v>340</v>
      </c>
      <c r="D54" s="27" t="n">
        <f aca="false">IF(AND($A54&gt;=$B$6,$A54&lt;=$B$7),SUMPRODUCT(Bobot_Filter!$B$4:$B$16,C48:C60),"")</f>
        <v>313</v>
      </c>
      <c r="E54" s="25" t="n">
        <f aca="false">IF(ISNUMBER(D54),C54/D54,"")</f>
        <v>1.08626198083067</v>
      </c>
      <c r="F54" s="25" t="n">
        <f aca="false">IF(AND($A54+(-24)&gt;=1,$A54+(-24)&lt;=$B$8),INDEX($E$12:$E$71,$A54+(-24)),"")</f>
        <v>1.15749811605124</v>
      </c>
      <c r="G54" s="25" t="n">
        <f aca="false">IF(AND($A54+(-12)&gt;=1,$A54+(-12)&lt;=$B$8),INDEX($E$12:$E$71,$A54+(-12)),"")</f>
        <v>1.07588532883643</v>
      </c>
      <c r="H54" s="25" t="n">
        <f aca="false">IF(AND($A54+(0)&gt;=1,$A54+(0)&lt;=$B$8),INDEX($E$12:$E$71,$A54+(0)),"")</f>
        <v>1.08626198083067</v>
      </c>
      <c r="I54" s="25" t="str">
        <f aca="false">IF(AND($A54+(12)&gt;=1,$A54+(12)&lt;=$B$8),INDEX($E$12:$E$71,$A54+(12)),"")</f>
        <v/>
      </c>
      <c r="J54" s="25" t="str">
        <f aca="false">IF(AND($A54+(24)&gt;=1,$A54+(24)&lt;=$B$8),INDEX($E$12:$E$71,$A54+(24)),"")</f>
        <v/>
      </c>
      <c r="K54" s="25" t="n">
        <f aca="false">IF(SUMPRODUCT(Bobot_Filter!$B$38:$F$38,ISNUMBER(F54:J54)*1)&gt;0,SUMPRODUCT(Bobot_Filter!$B$38:$F$38,F54:J54)/SUMPRODUCT(Bobot_Filter!$B$38:$F$38,ISNUMBER(F54:J54)*1),"")</f>
        <v>1.09467578603602</v>
      </c>
      <c r="L54" s="25" t="n">
        <f aca="false">IF(AND($A54&gt;=$B$6,$A54&lt;=$B$7),SUMPRODUCT(Bobot_Filter!$B$4:$B$16,K48:K60),"")</f>
        <v>0.999130841929385</v>
      </c>
      <c r="M54" s="25" t="n">
        <f aca="false">K54/INDEX($L$12:$L$71,MAX($B$6,MIN($A54,$B$7)))</f>
        <v>1.09562806000676</v>
      </c>
      <c r="N54" s="27" t="n">
        <f aca="false">C54/M54</f>
        <v>310.324290159108</v>
      </c>
      <c r="O54" s="27" t="n">
        <f aca="false">IF(AND($A54&gt;=$B$6,$A54&lt;=$B$7),SUMPRODUCT(Bobot_Filter!$B$20:$B$32,N48:N60),"")</f>
        <v>315.832053807055</v>
      </c>
      <c r="P54" s="25" t="n">
        <f aca="false">IF(ISNUMBER(O54),C54/O54,"")</f>
        <v>1.07652151167566</v>
      </c>
      <c r="Q54" s="25" t="n">
        <f aca="false">IF(AND($A54+(-36)&gt;=1,$A54+(-36)&lt;=$B$8),INDEX($P$12:$P$71,$A54+(-36)),"")</f>
        <v>1.12921264960641</v>
      </c>
      <c r="R54" s="25" t="n">
        <f aca="false">IF(AND($A54+(-24)&gt;=1,$A54+(-24)&lt;=$B$8),INDEX($P$12:$P$71,$A54+(-24)),"")</f>
        <v>1.15559712547743</v>
      </c>
      <c r="S54" s="25" t="n">
        <f aca="false">IF(AND($A54+(-12)&gt;=1,$A54+(-12)&lt;=$B$8),INDEX($P$12:$P$71,$A54+(-12)),"")</f>
        <v>1.06908151333573</v>
      </c>
      <c r="T54" s="25" t="n">
        <f aca="false">IF(AND($A54+(0)&gt;=1,$A54+(0)&lt;=$B$8),INDEX($P$12:$P$71,$A54+(0)),"")</f>
        <v>1.07652151167566</v>
      </c>
      <c r="U54" s="25" t="str">
        <f aca="false">IF(AND($A54+(12)&gt;=1,$A54+(12)&lt;=$B$8),INDEX($P$12:$P$71,$A54+(12)),"")</f>
        <v/>
      </c>
      <c r="V54" s="25" t="str">
        <f aca="false">IF(AND($A54+(24)&gt;=1,$A54+(24)&lt;=$B$8),INDEX($P$12:$P$71,$A54+(24)),"")</f>
        <v/>
      </c>
      <c r="W54" s="25" t="str">
        <f aca="false">IF(AND($A54+(36)&gt;=1,$A54+(36)&lt;=$B$8),INDEX($P$12:$P$71,$A54+(36)),"")</f>
        <v/>
      </c>
      <c r="X54" s="25" t="n">
        <f aca="false">IF(SUMPRODUCT(Bobot_Filter!$B$43:$H$43,ISNUMBER(Q54:W54)*1)&gt;0,SUMPRODUCT(Bobot_Filter!$B$43:$H$43,Q54:W54)/SUMPRODUCT(Bobot_Filter!$B$43:$H$43,ISNUMBER(Q54:W54)*1),"")</f>
        <v>1.09746844173283</v>
      </c>
      <c r="Y54" s="25" t="n">
        <f aca="false">IF(AND($A54&gt;=$B$6,$A54&lt;=$B$7),SUMPRODUCT(Bobot_Filter!$B$4:$B$16,X48:X60),"")</f>
        <v>0.999548890646657</v>
      </c>
      <c r="Z54" s="33" t="n">
        <f aca="false">X54/INDEX($Y$12:$Y$71,MAX($B$6,MIN($A54,$B$7)))</f>
        <v>1.09796374344713</v>
      </c>
      <c r="AA54" s="27" t="n">
        <f aca="false">C54/Z54</f>
        <v>309.664141488451</v>
      </c>
      <c r="AB54" s="27" t="n">
        <f aca="false">IF(AND($A54&gt;=$B$6,$A54&lt;=$B$7),SUMPRODUCT(Bobot_Filter!$B$20:$B$32,AA48:AA60),"")</f>
        <v>317.160375533571</v>
      </c>
      <c r="AC54" s="25" t="n">
        <f aca="false">IF(ISNUMBER(AB54),AA54/AB54,"")</f>
        <v>0.976364531563855</v>
      </c>
      <c r="AD54" s="27" t="n">
        <f aca="false">$B$4+$B$3*A54</f>
        <v>316.096741780036</v>
      </c>
      <c r="AE54" s="27" t="n">
        <f aca="false">AD54*Z54</f>
        <v>347.062761896248</v>
      </c>
      <c r="AF54" s="28" t="n">
        <f aca="false">ABS(C54-AE54)/C54</f>
        <v>0.0207728291066106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Data!D48</f>
        <v>352</v>
      </c>
      <c r="D55" s="27" t="n">
        <f aca="false">IF(AND($A55&gt;=$B$6,$A55&lt;=$B$7),SUMPRODUCT(Bobot_Filter!$B$4:$B$16,C49:C61),"")</f>
        <v>318.666666666667</v>
      </c>
      <c r="E55" s="25" t="n">
        <f aca="false">IF(ISNUMBER(D55),C55/D55,"")</f>
        <v>1.10460251046025</v>
      </c>
      <c r="F55" s="25" t="n">
        <f aca="false">IF(AND($A55+(-24)&gt;=1,$A55+(-24)&lt;=$B$8),INDEX($E$12:$E$71,$A55+(-24)),"")</f>
        <v>0.996118244252016</v>
      </c>
      <c r="G55" s="25" t="n">
        <f aca="false">IF(AND($A55+(-12)&gt;=1,$A55+(-12)&lt;=$B$8),INDEX($E$12:$E$71,$A55+(-12)),"")</f>
        <v>1.12996898787708</v>
      </c>
      <c r="H55" s="25" t="n">
        <f aca="false">IF(AND($A55+(0)&gt;=1,$A55+(0)&lt;=$B$8),INDEX($E$12:$E$71,$A55+(0)),"")</f>
        <v>1.10460251046025</v>
      </c>
      <c r="I55" s="25" t="str">
        <f aca="false">IF(AND($A55+(12)&gt;=1,$A55+(12)&lt;=$B$8),INDEX($E$12:$E$71,$A55+(12)),"")</f>
        <v/>
      </c>
      <c r="J55" s="25" t="str">
        <f aca="false">IF(AND($A55+(24)&gt;=1,$A55+(24)&lt;=$B$8),INDEX($E$12:$E$71,$A55+(24)),"")</f>
        <v/>
      </c>
      <c r="K55" s="25" t="n">
        <f aca="false">IF(SUMPRODUCT(Bobot_Filter!$B$38:$F$38,ISNUMBER(F55:J55)*1)&gt;0,SUMPRODUCT(Bobot_Filter!$B$38:$F$38,F55:J55)/SUMPRODUCT(Bobot_Filter!$B$38:$F$38,ISNUMBER(F55:J55)*1),"")</f>
        <v>1.09497729189782</v>
      </c>
      <c r="L55" s="25" t="n">
        <f aca="false">IF(AND($A55&gt;=$B$6,$A55&lt;=$B$7),SUMPRODUCT(Bobot_Filter!$B$4:$B$16,K49:K61),"")</f>
        <v>1.00085835442072</v>
      </c>
      <c r="M55" s="25" t="n">
        <f aca="false">K55/INDEX($L$12:$L$71,MAX($B$6,MIN($A55,$B$7)))</f>
        <v>1.0940382193558</v>
      </c>
      <c r="N55" s="27" t="n">
        <f aca="false">C55/M55</f>
        <v>321.743787166107</v>
      </c>
      <c r="O55" s="27" t="n">
        <f aca="false">IF(AND($A55&gt;=$B$6,$A55&lt;=$B$7),SUMPRODUCT(Bobot_Filter!$B$20:$B$32,N49:N61),"")</f>
        <v>317.584601163369</v>
      </c>
      <c r="P55" s="25" t="n">
        <f aca="false">IF(ISNUMBER(O55),C55/O55,"")</f>
        <v>1.10836608170094</v>
      </c>
      <c r="Q55" s="25" t="n">
        <f aca="false">IF(AND($A55+(-36)&gt;=1,$A55+(-36)&lt;=$B$8),INDEX($P$12:$P$71,$A55+(-36)),"")</f>
        <v>1.08330543660651</v>
      </c>
      <c r="R55" s="25" t="n">
        <f aca="false">IF(AND($A55+(-24)&gt;=1,$A55+(-24)&lt;=$B$8),INDEX($P$12:$P$71,$A55+(-24)),"")</f>
        <v>1.00605186014189</v>
      </c>
      <c r="S55" s="25" t="n">
        <f aca="false">IF(AND($A55+(-12)&gt;=1,$A55+(-12)&lt;=$B$8),INDEX($P$12:$P$71,$A55+(-12)),"")</f>
        <v>1.10820549559171</v>
      </c>
      <c r="T55" s="25" t="n">
        <f aca="false">IF(AND($A55+(0)&gt;=1,$A55+(0)&lt;=$B$8),INDEX($P$12:$P$71,$A55+(0)),"")</f>
        <v>1.10836608170094</v>
      </c>
      <c r="U55" s="25" t="str">
        <f aca="false">IF(AND($A55+(12)&gt;=1,$A55+(12)&lt;=$B$8),INDEX($P$12:$P$71,$A55+(12)),"")</f>
        <v/>
      </c>
      <c r="V55" s="25" t="str">
        <f aca="false">IF(AND($A55+(24)&gt;=1,$A55+(24)&lt;=$B$8),INDEX($P$12:$P$71,$A55+(24)),"")</f>
        <v/>
      </c>
      <c r="W55" s="25" t="str">
        <f aca="false">IF(AND($A55+(36)&gt;=1,$A55+(36)&lt;=$B$8),INDEX($P$12:$P$71,$A55+(36)),"")</f>
        <v/>
      </c>
      <c r="X55" s="25" t="n">
        <f aca="false">IF(SUMPRODUCT(Bobot_Filter!$B$43:$H$43,ISNUMBER(Q55:W55)*1)&gt;0,SUMPRODUCT(Bobot_Filter!$B$43:$H$43,Q55:W55)/SUMPRODUCT(Bobot_Filter!$B$43:$H$43,ISNUMBER(Q55:W55)*1),"")</f>
        <v>1.08279154319647</v>
      </c>
      <c r="Y55" s="25" t="n">
        <f aca="false">IF(AND($A55&gt;=$B$6,$A55&lt;=$B$7),SUMPRODUCT(Bobot_Filter!$B$4:$B$16,X49:X61),"")</f>
        <v>0.999754365035923</v>
      </c>
      <c r="Z55" s="33" t="n">
        <f aca="false">X55/INDEX($Y$12:$Y$71,MAX($B$6,MIN($A55,$B$7)))</f>
        <v>1.08305758000623</v>
      </c>
      <c r="AA55" s="27" t="n">
        <f aca="false">C55/Z55</f>
        <v>325.005804398668</v>
      </c>
      <c r="AB55" s="27" t="n">
        <f aca="false">IF(AND($A55&gt;=$B$6,$A55&lt;=$B$7),SUMPRODUCT(Bobot_Filter!$B$20:$B$32,AA49:AA61),"")</f>
        <v>318.951056098116</v>
      </c>
      <c r="AC55" s="25" t="n">
        <f aca="false">IF(ISNUMBER(AB55),AA55/AB55,"")</f>
        <v>1.01898331479012</v>
      </c>
      <c r="AD55" s="27" t="n">
        <f aca="false">$B$4+$B$3*A55</f>
        <v>317.645811398911</v>
      </c>
      <c r="AE55" s="27" t="n">
        <f aca="false">AD55*Z55</f>
        <v>344.02870379282</v>
      </c>
      <c r="AF55" s="28" t="n">
        <f aca="false">ABS(C55-AE55)/C55</f>
        <v>0.0226457278613066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Data!D49</f>
        <v>294</v>
      </c>
      <c r="D56" s="27" t="n">
        <f aca="false">IF(AND($A56&gt;=$B$6,$A56&lt;=$B$7),SUMPRODUCT(Bobot_Filter!$B$4:$B$16,C50:C62),"")</f>
        <v>323.125</v>
      </c>
      <c r="E56" s="25" t="n">
        <f aca="false">IF(ISNUMBER(D56),C56/D56,"")</f>
        <v>0.909864603481625</v>
      </c>
      <c r="F56" s="25" t="n">
        <f aca="false">IF(AND($A56+(-24)&gt;=1,$A56+(-24)&lt;=$B$8),INDEX($E$12:$E$71,$A56+(-24)),"")</f>
        <v>0.904316866933689</v>
      </c>
      <c r="G56" s="25" t="n">
        <f aca="false">IF(AND($A56+(-12)&gt;=1,$A56+(-12)&lt;=$B$8),INDEX($E$12:$E$71,$A56+(-12)),"")</f>
        <v>0.959594537519358</v>
      </c>
      <c r="H56" s="25" t="n">
        <f aca="false">IF(AND($A56+(0)&gt;=1,$A56+(0)&lt;=$B$8),INDEX($E$12:$E$71,$A56+(0)),"")</f>
        <v>0.909864603481625</v>
      </c>
      <c r="I56" s="25" t="str">
        <f aca="false">IF(AND($A56+(12)&gt;=1,$A56+(12)&lt;=$B$8),INDEX($E$12:$E$71,$A56+(12)),"")</f>
        <v/>
      </c>
      <c r="J56" s="25" t="str">
        <f aca="false">IF(AND($A56+(24)&gt;=1,$A56+(24)&lt;=$B$8),INDEX($E$12:$E$71,$A56+(24)),"")</f>
        <v/>
      </c>
      <c r="K56" s="25" t="n">
        <f aca="false">IF(SUMPRODUCT(Bobot_Filter!$B$38:$F$38,ISNUMBER(F56:J56)*1)&gt;0,SUMPRODUCT(Bobot_Filter!$B$38:$F$38,F56:J56)/SUMPRODUCT(Bobot_Filter!$B$38:$F$38,ISNUMBER(F56:J56)*1),"")</f>
        <v>0.92551662540288</v>
      </c>
      <c r="L56" s="25" t="n">
        <f aca="false">IF(AND($A56&gt;=$B$6,$A56&lt;=$B$7),SUMPRODUCT(Bobot_Filter!$B$4:$B$16,K50:K62),"")</f>
        <v>1.00219408714696</v>
      </c>
      <c r="M56" s="25" t="n">
        <f aca="false">K56/INDEX($L$12:$L$71,MAX($B$6,MIN($A56,$B$7)))</f>
        <v>0.923490406970608</v>
      </c>
      <c r="N56" s="27" t="n">
        <f aca="false">C56/M56</f>
        <v>318.357394706925</v>
      </c>
      <c r="O56" s="27" t="n">
        <f aca="false">IF(AND($A56&gt;=$B$6,$A56&lt;=$B$7),SUMPRODUCT(Bobot_Filter!$B$20:$B$32,N50:N62),"")</f>
        <v>319.765638497165</v>
      </c>
      <c r="P56" s="25" t="n">
        <f aca="false">IF(ISNUMBER(O56),C56/O56,"")</f>
        <v>0.919423367006354</v>
      </c>
      <c r="Q56" s="25" t="n">
        <f aca="false">IF(AND($A56+(-36)&gt;=1,$A56+(-36)&lt;=$B$8),INDEX($P$12:$P$71,$A56+(-36)),"")</f>
        <v>0.918629889117625</v>
      </c>
      <c r="R56" s="25" t="n">
        <f aca="false">IF(AND($A56+(-24)&gt;=1,$A56+(-24)&lt;=$B$8),INDEX($P$12:$P$71,$A56+(-24)),"")</f>
        <v>0.917764791794422</v>
      </c>
      <c r="S56" s="25" t="n">
        <f aca="false">IF(AND($A56+(-12)&gt;=1,$A56+(-12)&lt;=$B$8),INDEX($P$12:$P$71,$A56+(-12)),"")</f>
        <v>0.93867106849459</v>
      </c>
      <c r="T56" s="25" t="n">
        <f aca="false">IF(AND($A56+(0)&gt;=1,$A56+(0)&lt;=$B$8),INDEX($P$12:$P$71,$A56+(0)),"")</f>
        <v>0.919423367006354</v>
      </c>
      <c r="U56" s="25" t="str">
        <f aca="false">IF(AND($A56+(12)&gt;=1,$A56+(12)&lt;=$B$8),INDEX($P$12:$P$71,$A56+(12)),"")</f>
        <v/>
      </c>
      <c r="V56" s="25" t="str">
        <f aca="false">IF(AND($A56+(24)&gt;=1,$A56+(24)&lt;=$B$8),INDEX($P$12:$P$71,$A56+(24)),"")</f>
        <v/>
      </c>
      <c r="W56" s="25" t="str">
        <f aca="false">IF(AND($A56+(36)&gt;=1,$A56+(36)&lt;=$B$8),INDEX($P$12:$P$71,$A56+(36)),"")</f>
        <v/>
      </c>
      <c r="X56" s="25" t="n">
        <f aca="false">IF(SUMPRODUCT(Bobot_Filter!$B$43:$H$43,ISNUMBER(Q56:W56)*1)&gt;0,SUMPRODUCT(Bobot_Filter!$B$43:$H$43,Q56:W56)/SUMPRODUCT(Bobot_Filter!$B$43:$H$43,ISNUMBER(Q56:W56)*1),"")</f>
        <v>0.925382531023256</v>
      </c>
      <c r="Y56" s="25" t="n">
        <f aca="false">IF(AND($A56&gt;=$B$6,$A56&lt;=$B$7),SUMPRODUCT(Bobot_Filter!$B$4:$B$16,X50:X62),"")</f>
        <v>1.00001468251961</v>
      </c>
      <c r="Z56" s="33" t="n">
        <f aca="false">X56/INDEX($Y$12:$Y$71,MAX($B$6,MIN($A56,$B$7)))</f>
        <v>0.925368944275583</v>
      </c>
      <c r="AA56" s="27" t="n">
        <f aca="false">C56/Z56</f>
        <v>317.711116002661</v>
      </c>
      <c r="AB56" s="27" t="n">
        <f aca="false">IF(AND($A56&gt;=$B$6,$A56&lt;=$B$7),SUMPRODUCT(Bobot_Filter!$B$20:$B$32,AA50:AA62),"")</f>
        <v>320.533051340391</v>
      </c>
      <c r="AC56" s="25" t="n">
        <f aca="false">IF(ISNUMBER(AB56),AA56/AB56,"")</f>
        <v>0.991196117448951</v>
      </c>
      <c r="AD56" s="27" t="n">
        <f aca="false">$B$4+$B$3*A56</f>
        <v>319.194881017786</v>
      </c>
      <c r="AE56" s="27" t="n">
        <f aca="false">AD56*Z56</f>
        <v>295.373030065599</v>
      </c>
      <c r="AF56" s="28" t="n">
        <f aca="false">ABS(C56-AE56)/C56</f>
        <v>0.00467017029115203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Data!D50</f>
        <v>403</v>
      </c>
      <c r="D57" s="27" t="n">
        <f aca="false">IF(AND($A57&gt;=$B$6,$A57&lt;=$B$7),SUMPRODUCT(Bobot_Filter!$B$4:$B$16,C51:C63),"")</f>
        <v>324.958333333333</v>
      </c>
      <c r="E57" s="25" t="n">
        <f aca="false">IF(ISNUMBER(D57),C57/D57,"")</f>
        <v>1.24015899474292</v>
      </c>
      <c r="F57" s="25" t="n">
        <f aca="false">IF(AND($A57+(-24)&gt;=1,$A57+(-24)&lt;=$B$8),INDEX($E$12:$E$71,$A57+(-24)),"")</f>
        <v>1.05117239345229</v>
      </c>
      <c r="G57" s="25" t="n">
        <f aca="false">IF(AND($A57+(-12)&gt;=1,$A57+(-12)&lt;=$B$8),INDEX($E$12:$E$71,$A57+(-12)),"")</f>
        <v>1.20352990614932</v>
      </c>
      <c r="H57" s="25" t="n">
        <f aca="false">IF(AND($A57+(0)&gt;=1,$A57+(0)&lt;=$B$8),INDEX($E$12:$E$71,$A57+(0)),"")</f>
        <v>1.24015899474292</v>
      </c>
      <c r="I57" s="25" t="str">
        <f aca="false">IF(AND($A57+(12)&gt;=1,$A57+(12)&lt;=$B$8),INDEX($E$12:$E$71,$A57+(12)),"")</f>
        <v/>
      </c>
      <c r="J57" s="25" t="str">
        <f aca="false">IF(AND($A57+(24)&gt;=1,$A57+(24)&lt;=$B$8),INDEX($E$12:$E$71,$A57+(24)),"")</f>
        <v/>
      </c>
      <c r="K57" s="25" t="n">
        <f aca="false">IF(SUMPRODUCT(Bobot_Filter!$B$38:$F$38,ISNUMBER(F57:J57)*1)&gt;0,SUMPRODUCT(Bobot_Filter!$B$38:$F$38,F57:J57)/SUMPRODUCT(Bobot_Filter!$B$38:$F$38,ISNUMBER(F57:J57)*1),"")</f>
        <v>1.19645153166328</v>
      </c>
      <c r="L57" s="25" t="n">
        <f aca="false">IF(AND($A57&gt;=$B$6,$A57&lt;=$B$7),SUMPRODUCT(Bobot_Filter!$B$4:$B$16,K51:K63),"")</f>
        <v>1.00241602759788</v>
      </c>
      <c r="M57" s="25" t="n">
        <f aca="false">K57/INDEX($L$12:$L$71,MAX($B$6,MIN($A57,$B$7)))</f>
        <v>1.19356783882473</v>
      </c>
      <c r="N57" s="27" t="n">
        <f aca="false">C57/M57</f>
        <v>337.643145945371</v>
      </c>
      <c r="O57" s="27" t="n">
        <f aca="false">IF(AND($A57&gt;=$B$6,$A57&lt;=$B$7),SUMPRODUCT(Bobot_Filter!$B$20:$B$32,N51:N63),"")</f>
        <v>323.272542205272</v>
      </c>
      <c r="P57" s="25" t="n">
        <f aca="false">IF(ISNUMBER(O57),C57/O57,"")</f>
        <v>1.2466261354919</v>
      </c>
      <c r="Q57" s="25" t="n">
        <f aca="false">IF(AND($A57+(-36)&gt;=1,$A57+(-36)&lt;=$B$8),INDEX($P$12:$P$71,$A57+(-36)),"")</f>
        <v>0.919872795552767</v>
      </c>
      <c r="R57" s="25" t="n">
        <f aca="false">IF(AND($A57+(-24)&gt;=1,$A57+(-24)&lt;=$B$8),INDEX($P$12:$P$71,$A57+(-24)),"")</f>
        <v>1.06656568756271</v>
      </c>
      <c r="S57" s="25" t="n">
        <f aca="false">IF(AND($A57+(-12)&gt;=1,$A57+(-12)&lt;=$B$8),INDEX($P$12:$P$71,$A57+(-12)),"")</f>
        <v>1.18899539679348</v>
      </c>
      <c r="T57" s="25" t="n">
        <f aca="false">IF(AND($A57+(0)&gt;=1,$A57+(0)&lt;=$B$8),INDEX($P$12:$P$71,$A57+(0)),"")</f>
        <v>1.2466261354919</v>
      </c>
      <c r="U57" s="25" t="str">
        <f aca="false">IF(AND($A57+(12)&gt;=1,$A57+(12)&lt;=$B$8),INDEX($P$12:$P$71,$A57+(12)),"")</f>
        <v/>
      </c>
      <c r="V57" s="25" t="str">
        <f aca="false">IF(AND($A57+(24)&gt;=1,$A57+(24)&lt;=$B$8),INDEX($P$12:$P$71,$A57+(24)),"")</f>
        <v/>
      </c>
      <c r="W57" s="25" t="str">
        <f aca="false">IF(AND($A57+(36)&gt;=1,$A57+(36)&lt;=$B$8),INDEX($P$12:$P$71,$A57+(36)),"")</f>
        <v/>
      </c>
      <c r="X57" s="25" t="n">
        <f aca="false">IF(SUMPRODUCT(Bobot_Filter!$B$43:$H$43,ISNUMBER(Q57:W57)*1)&gt;0,SUMPRODUCT(Bobot_Filter!$B$43:$H$43,Q57:W57)/SUMPRODUCT(Bobot_Filter!$B$43:$H$43,ISNUMBER(Q57:W57)*1),"")</f>
        <v>1.15109652972604</v>
      </c>
      <c r="Y57" s="25" t="n">
        <f aca="false">IF(AND($A57&gt;=$B$6,$A57&lt;=$B$7),SUMPRODUCT(Bobot_Filter!$B$4:$B$16,X51:X63),"")</f>
        <v>1.00021986618751</v>
      </c>
      <c r="Z57" s="33" t="n">
        <f aca="false">X57/INDEX($Y$12:$Y$71,MAX($B$6,MIN($A57,$B$7)))</f>
        <v>1.15084349815368</v>
      </c>
      <c r="AA57" s="27" t="n">
        <f aca="false">C57/Z57</f>
        <v>350.177935267949</v>
      </c>
      <c r="AB57" s="27" t="n">
        <f aca="false">IF(AND($A57&gt;=$B$6,$A57&lt;=$B$7),SUMPRODUCT(Bobot_Filter!$B$20:$B$32,AA51:AA63),"")</f>
        <v>323.178068057658</v>
      </c>
      <c r="AC57" s="25" t="n">
        <f aca="false">IF(ISNUMBER(AB57),AA57/AB57,"")</f>
        <v>1.08354486234961</v>
      </c>
      <c r="AD57" s="27" t="n">
        <f aca="false">$B$4+$B$3*A57</f>
        <v>320.743950636661</v>
      </c>
      <c r="AE57" s="27" t="n">
        <f aca="false">AD57*Z57</f>
        <v>369.126090162327</v>
      </c>
      <c r="AF57" s="28" t="n">
        <f aca="false">ABS(C57-AE57)/C57</f>
        <v>0.0840543668428622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Data!D51</f>
        <v>353</v>
      </c>
      <c r="D58" s="27" t="n">
        <f aca="false">IF(AND($A58&gt;=$B$6,$A58&lt;=$B$7),SUMPRODUCT(Bobot_Filter!$B$4:$B$16,C52:C64),"")</f>
        <v>325.541666666667</v>
      </c>
      <c r="E58" s="25" t="n">
        <f aca="false">IF(ISNUMBER(D58),C58/D58,"")</f>
        <v>1.08434660181748</v>
      </c>
      <c r="F58" s="25" t="n">
        <f aca="false">IF(AND($A58+(-24)&gt;=1,$A58+(-24)&lt;=$B$8),INDEX($E$12:$E$71,$A58+(-24)),"")</f>
        <v>1.23834652594547</v>
      </c>
      <c r="G58" s="25" t="n">
        <f aca="false">IF(AND($A58+(-12)&gt;=1,$A58+(-12)&lt;=$B$8),INDEX($E$12:$E$71,$A58+(-12)),"")</f>
        <v>1.07327946503204</v>
      </c>
      <c r="H58" s="25" t="n">
        <f aca="false">IF(AND($A58+(0)&gt;=1,$A58+(0)&lt;=$B$8),INDEX($E$12:$E$71,$A58+(0)),"")</f>
        <v>1.08434660181748</v>
      </c>
      <c r="I58" s="25" t="str">
        <f aca="false">IF(AND($A58+(12)&gt;=1,$A58+(12)&lt;=$B$8),INDEX($E$12:$E$71,$A58+(12)),"")</f>
        <v/>
      </c>
      <c r="J58" s="25" t="str">
        <f aca="false">IF(AND($A58+(24)&gt;=1,$A58+(24)&lt;=$B$8),INDEX($E$12:$E$71,$A58+(24)),"")</f>
        <v/>
      </c>
      <c r="K58" s="25" t="n">
        <f aca="false">IF(SUMPRODUCT(Bobot_Filter!$B$38:$F$38,ISNUMBER(F58:J58)*1)&gt;0,SUMPRODUCT(Bobot_Filter!$B$38:$F$38,F58:J58)/SUMPRODUCT(Bobot_Filter!$B$38:$F$38,ISNUMBER(F58:J58)*1),"")</f>
        <v>1.10632421024367</v>
      </c>
      <c r="L58" s="25" t="n">
        <f aca="false">IF(AND($A58&gt;=$B$6,$A58&lt;=$B$7),SUMPRODUCT(Bobot_Filter!$B$4:$B$16,K52:K64),"")</f>
        <v>1.0019663608274</v>
      </c>
      <c r="M58" s="25" t="n">
        <f aca="false">K58/INDEX($L$12:$L$71,MAX($B$6,MIN($A58,$B$7)))</f>
        <v>1.10415304694471</v>
      </c>
      <c r="N58" s="27" t="n">
        <f aca="false">C58/M58</f>
        <v>319.702056682073</v>
      </c>
      <c r="O58" s="27" t="n">
        <f aca="false">IF(AND($A58&gt;=$B$6,$A58&lt;=$B$7),SUMPRODUCT(Bobot_Filter!$B$20:$B$32,N52:N64),"")</f>
        <v>327.42041820173</v>
      </c>
      <c r="P58" s="25" t="n">
        <f aca="false">IF(ISNUMBER(O58),C58/O58,"")</f>
        <v>1.07812457738207</v>
      </c>
      <c r="Q58" s="25" t="n">
        <f aca="false">IF(AND($A58+(-36)&gt;=1,$A58+(-36)&lt;=$B$8),INDEX($P$12:$P$71,$A58+(-36)),"")</f>
        <v>1.27947546752783</v>
      </c>
      <c r="R58" s="25" t="n">
        <f aca="false">IF(AND($A58+(-24)&gt;=1,$A58+(-24)&lt;=$B$8),INDEX($P$12:$P$71,$A58+(-24)),"")</f>
        <v>1.25048286149846</v>
      </c>
      <c r="S58" s="25" t="n">
        <f aca="false">IF(AND($A58+(-12)&gt;=1,$A58+(-12)&lt;=$B$8),INDEX($P$12:$P$71,$A58+(-12)),"")</f>
        <v>1.077578363339</v>
      </c>
      <c r="T58" s="25" t="n">
        <f aca="false">IF(AND($A58+(0)&gt;=1,$A58+(0)&lt;=$B$8),INDEX($P$12:$P$71,$A58+(0)),"")</f>
        <v>1.07812457738207</v>
      </c>
      <c r="U58" s="25" t="str">
        <f aca="false">IF(AND($A58+(12)&gt;=1,$A58+(12)&lt;=$B$8),INDEX($P$12:$P$71,$A58+(12)),"")</f>
        <v/>
      </c>
      <c r="V58" s="25" t="str">
        <f aca="false">IF(AND($A58+(24)&gt;=1,$A58+(24)&lt;=$B$8),INDEX($P$12:$P$71,$A58+(24)),"")</f>
        <v/>
      </c>
      <c r="W58" s="25" t="str">
        <f aca="false">IF(AND($A58+(36)&gt;=1,$A58+(36)&lt;=$B$8),INDEX($P$12:$P$71,$A58+(36)),"")</f>
        <v/>
      </c>
      <c r="X58" s="25" t="n">
        <f aca="false">IF(SUMPRODUCT(Bobot_Filter!$B$43:$H$43,ISNUMBER(Q58:W58)*1)&gt;0,SUMPRODUCT(Bobot_Filter!$B$43:$H$43,Q58:W58)/SUMPRODUCT(Bobot_Filter!$B$43:$H$43,ISNUMBER(Q58:W58)*1),"")</f>
        <v>1.13861666807644</v>
      </c>
      <c r="Y58" s="25" t="n">
        <f aca="false">IF(AND($A58&gt;=$B$6,$A58&lt;=$B$7),SUMPRODUCT(Bobot_Filter!$B$4:$B$16,X52:X64),"")</f>
        <v>1.00023857911525</v>
      </c>
      <c r="Z58" s="33" t="n">
        <f aca="false">X58/INDEX($Y$12:$Y$71,MAX($B$6,MIN($A58,$B$7)))</f>
        <v>1.13834508271375</v>
      </c>
      <c r="AA58" s="27" t="n">
        <f aca="false">C58/Z58</f>
        <v>310.099288309365</v>
      </c>
      <c r="AB58" s="27" t="n">
        <f aca="false">IF(AND($A58&gt;=$B$6,$A58&lt;=$B$7),SUMPRODUCT(Bobot_Filter!$B$20:$B$32,AA52:AA64),"")</f>
        <v>326.613470891357</v>
      </c>
      <c r="AC58" s="25" t="n">
        <f aca="false">IF(ISNUMBER(AB58),AA58/AB58,"")</f>
        <v>0.949438146145891</v>
      </c>
      <c r="AD58" s="27" t="n">
        <f aca="false">$B$4+$B$3*A58</f>
        <v>322.293020255536</v>
      </c>
      <c r="AE58" s="27" t="n">
        <f aca="false">AD58*Z58</f>
        <v>366.880674800854</v>
      </c>
      <c r="AF58" s="28" t="n">
        <f aca="false">ABS(C58-AE58)/C58</f>
        <v>0.0393220249315964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Data!D52</f>
        <v>278</v>
      </c>
      <c r="D59" s="27" t="n">
        <f aca="false">IF(AND($A59&gt;=$B$6,$A59&lt;=$B$7),SUMPRODUCT(Bobot_Filter!$B$4:$B$16,C53:C65),"")</f>
        <v>327.125</v>
      </c>
      <c r="E59" s="25" t="n">
        <f aca="false">IF(ISNUMBER(D59),C59/D59,"")</f>
        <v>0.849828047382499</v>
      </c>
      <c r="F59" s="25" t="n">
        <f aca="false">IF(AND($A59+(-24)&gt;=1,$A59+(-24)&lt;=$B$8),INDEX($E$12:$E$71,$A59+(-24)),"")</f>
        <v>0.916861826697892</v>
      </c>
      <c r="G59" s="25" t="n">
        <f aca="false">IF(AND($A59+(-12)&gt;=1,$A59+(-12)&lt;=$B$8),INDEX($E$12:$E$71,$A59+(-12)),"")</f>
        <v>0.948419301164726</v>
      </c>
      <c r="H59" s="25" t="n">
        <f aca="false">IF(AND($A59+(0)&gt;=1,$A59+(0)&lt;=$B$8),INDEX($E$12:$E$71,$A59+(0)),"")</f>
        <v>0.849828047382499</v>
      </c>
      <c r="I59" s="25" t="str">
        <f aca="false">IF(AND($A59+(12)&gt;=1,$A59+(12)&lt;=$B$8),INDEX($E$12:$E$71,$A59+(12)),"")</f>
        <v/>
      </c>
      <c r="J59" s="25" t="str">
        <f aca="false">IF(AND($A59+(24)&gt;=1,$A59+(24)&lt;=$B$8),INDEX($E$12:$E$71,$A59+(24)),"")</f>
        <v/>
      </c>
      <c r="K59" s="25" t="n">
        <f aca="false">IF(SUMPRODUCT(Bobot_Filter!$B$38:$F$38,ISNUMBER(F59:J59)*1)&gt;0,SUMPRODUCT(Bobot_Filter!$B$38:$F$38,F59:J59)/SUMPRODUCT(Bobot_Filter!$B$38:$F$38,ISNUMBER(F59:J59)*1),"")</f>
        <v>0.893864095195807</v>
      </c>
      <c r="L59" s="25" t="n">
        <f aca="false">IF(AND($A59&gt;=$B$6,$A59&lt;=$B$7),SUMPRODUCT(Bobot_Filter!$B$4:$B$16,K53:K65),"")</f>
        <v>1.00173423903857</v>
      </c>
      <c r="M59" s="25" t="n">
        <f aca="false">K59/INDEX($L$12:$L$71,MAX($B$6,MIN($A59,$B$7)))</f>
        <v>0.892316604904813</v>
      </c>
      <c r="N59" s="27" t="n">
        <f aca="false">C59/M59</f>
        <v>311.548612310824</v>
      </c>
      <c r="O59" s="27" t="n">
        <f aca="false">IF(AND($A59&gt;=$B$6,$A59&lt;=$B$7),SUMPRODUCT(Bobot_Filter!$B$20:$B$32,N53:N65),"")</f>
        <v>331.05068626553</v>
      </c>
      <c r="P59" s="25" t="n">
        <f aca="false">IF(ISNUMBER(O59),C59/O59,"")</f>
        <v>0.839750562477375</v>
      </c>
      <c r="Q59" s="25" t="n">
        <f aca="false">IF(AND($A59+(-36)&gt;=1,$A59+(-36)&lt;=$B$8),INDEX($P$12:$P$71,$A59+(-36)),"")</f>
        <v>1.06089618288648</v>
      </c>
      <c r="R59" s="25" t="n">
        <f aca="false">IF(AND($A59+(-24)&gt;=1,$A59+(-24)&lt;=$B$8),INDEX($P$12:$P$71,$A59+(-24)),"")</f>
        <v>0.914764667593264</v>
      </c>
      <c r="S59" s="25" t="n">
        <f aca="false">IF(AND($A59+(-12)&gt;=1,$A59+(-12)&lt;=$B$8),INDEX($P$12:$P$71,$A59+(-12)),"")</f>
        <v>0.966555176224561</v>
      </c>
      <c r="T59" s="25" t="n">
        <f aca="false">IF(AND($A59+(0)&gt;=1,$A59+(0)&lt;=$B$8),INDEX($P$12:$P$71,$A59+(0)),"")</f>
        <v>0.839750562477375</v>
      </c>
      <c r="U59" s="25" t="str">
        <f aca="false">IF(AND($A59+(12)&gt;=1,$A59+(12)&lt;=$B$8),INDEX($P$12:$P$71,$A59+(12)),"")</f>
        <v/>
      </c>
      <c r="V59" s="25" t="str">
        <f aca="false">IF(AND($A59+(24)&gt;=1,$A59+(24)&lt;=$B$8),INDEX($P$12:$P$71,$A59+(24)),"")</f>
        <v/>
      </c>
      <c r="W59" s="25" t="str">
        <f aca="false">IF(AND($A59+(36)&gt;=1,$A59+(36)&lt;=$B$8),INDEX($P$12:$P$71,$A59+(36)),"")</f>
        <v/>
      </c>
      <c r="X59" s="25" t="n">
        <f aca="false">IF(SUMPRODUCT(Bobot_Filter!$B$43:$H$43,ISNUMBER(Q59:W59)*1)&gt;0,SUMPRODUCT(Bobot_Filter!$B$43:$H$43,Q59:W59)/SUMPRODUCT(Bobot_Filter!$B$43:$H$43,ISNUMBER(Q59:W59)*1),"")</f>
        <v>0.923260303797646</v>
      </c>
      <c r="Y59" s="25" t="n">
        <f aca="false">IF(AND($A59&gt;=$B$6,$A59&lt;=$B$7),SUMPRODUCT(Bobot_Filter!$B$4:$B$16,X53:X65),"")</f>
        <v>1.00005438475885</v>
      </c>
      <c r="Z59" s="33" t="n">
        <f aca="false">X59/INDEX($Y$12:$Y$71,MAX($B$6,MIN($A59,$B$7)))</f>
        <v>0.92321009523925</v>
      </c>
      <c r="AA59" s="27" t="n">
        <f aca="false">C59/Z59</f>
        <v>301.123223666609</v>
      </c>
      <c r="AB59" s="27" t="n">
        <f aca="false">IF(AND($A59&gt;=$B$6,$A59&lt;=$B$7),SUMPRODUCT(Bobot_Filter!$B$20:$B$32,AA53:AA65),"")</f>
        <v>329.945265964606</v>
      </c>
      <c r="AC59" s="25" t="n">
        <f aca="false">IF(ISNUMBER(AB59),AA59/AB59,"")</f>
        <v>0.912645989286329</v>
      </c>
      <c r="AD59" s="27" t="n">
        <f aca="false">$B$4+$B$3*A59</f>
        <v>323.842089874411</v>
      </c>
      <c r="AE59" s="27" t="n">
        <f aca="false">AD59*Z59</f>
        <v>298.974286635433</v>
      </c>
      <c r="AF59" s="28" t="n">
        <f aca="false">ABS(C59-AE59)/C59</f>
        <v>0.0754470742281747</v>
      </c>
    </row>
    <row r="60" customFormat="false" ht="15" hidden="false" customHeight="false" outlineLevel="0" collapsed="false">
      <c r="A60" s="8" t="n">
        <v>49</v>
      </c>
      <c r="B60" s="22" t="n">
        <f aca="false">Data!B53</f>
        <v>45809</v>
      </c>
      <c r="C60" s="23" t="n">
        <f aca="false">Data!D53</f>
        <v>330</v>
      </c>
      <c r="D60" s="27" t="n">
        <f aca="false">IF(AND($A60&gt;=$B$6,$A60&lt;=$B$7),SUMPRODUCT(Bobot_Filter!$B$4:$B$16,C54:C66),"")</f>
        <v>329.666666666667</v>
      </c>
      <c r="E60" s="25" t="n">
        <f aca="false">IF(ISNUMBER(D60),C60/D60,"")</f>
        <v>1.0010111223458</v>
      </c>
      <c r="F60" s="25" t="n">
        <f aca="false">IF(AND($A60+(-24)&gt;=1,$A60+(-24)&lt;=$B$8),INDEX($E$12:$E$71,$A60+(-24)),"")</f>
        <v>0.954525515426232</v>
      </c>
      <c r="G60" s="25" t="n">
        <f aca="false">IF(AND($A60+(-12)&gt;=1,$A60+(-12)&lt;=$B$8),INDEX($E$12:$E$71,$A60+(-12)),"")</f>
        <v>0.895646164478231</v>
      </c>
      <c r="H60" s="25" t="n">
        <f aca="false">IF(AND($A60+(0)&gt;=1,$A60+(0)&lt;=$B$8),INDEX($E$12:$E$71,$A60+(0)),"")</f>
        <v>1.0010111223458</v>
      </c>
      <c r="I60" s="25" t="str">
        <f aca="false">IF(AND($A60+(12)&gt;=1,$A60+(12)&lt;=$B$8),INDEX($E$12:$E$71,$A60+(12)),"")</f>
        <v/>
      </c>
      <c r="J60" s="25" t="str">
        <f aca="false">IF(AND($A60+(24)&gt;=1,$A60+(24)&lt;=$B$8),INDEX($E$12:$E$71,$A60+(24)),"")</f>
        <v/>
      </c>
      <c r="K60" s="25" t="n">
        <f aca="false">IF(SUMPRODUCT(Bobot_Filter!$B$38:$F$38,ISNUMBER(F60:J60)*1)&gt;0,SUMPRODUCT(Bobot_Filter!$B$38:$F$38,F60:J60)/SUMPRODUCT(Bobot_Filter!$B$38:$F$38,ISNUMBER(F60:J60)*1),"")</f>
        <v>0.958141868570018</v>
      </c>
      <c r="L60" s="25" t="n">
        <f aca="false">IF(AND($A60&gt;=$B$6,$A60&lt;=$B$7),SUMPRODUCT(Bobot_Filter!$B$4:$B$16,K54:K66),"")</f>
        <v>1.0013117437812</v>
      </c>
      <c r="M60" s="25" t="n">
        <f aca="false">K60/INDEX($L$12:$L$71,MAX($B$6,MIN($A60,$B$7)))</f>
        <v>0.956886678420289</v>
      </c>
      <c r="N60" s="27" t="n">
        <f aca="false">C60/M60</f>
        <v>344.868423233556</v>
      </c>
      <c r="O60" s="27" t="n">
        <f aca="false">IF(AND($A60&gt;=$B$6,$A60&lt;=$B$7),SUMPRODUCT(Bobot_Filter!$B$20:$B$32,N54:N66),"")</f>
        <v>333.550820999332</v>
      </c>
      <c r="P60" s="25" t="n">
        <f aca="false">IF(ISNUMBER(O60),C60/O60,"")</f>
        <v>0.989354482808066</v>
      </c>
      <c r="Q60" s="25" t="n">
        <f aca="false">IF(AND($A60+(-36)&gt;=1,$A60+(-36)&lt;=$B$8),INDEX($P$12:$P$71,$A60+(-36)),"")</f>
        <v>0.918926826920521</v>
      </c>
      <c r="R60" s="25" t="n">
        <f aca="false">IF(AND($A60+(-24)&gt;=1,$A60+(-24)&lt;=$B$8),INDEX($P$12:$P$71,$A60+(-24)),"")</f>
        <v>0.942097421783349</v>
      </c>
      <c r="S60" s="25" t="n">
        <f aca="false">IF(AND($A60+(-12)&gt;=1,$A60+(-12)&lt;=$B$8),INDEX($P$12:$P$71,$A60+(-12)),"")</f>
        <v>0.917647850236325</v>
      </c>
      <c r="T60" s="25" t="n">
        <f aca="false">IF(AND($A60+(0)&gt;=1,$A60+(0)&lt;=$B$8),INDEX($P$12:$P$71,$A60+(0)),"")</f>
        <v>0.989354482808066</v>
      </c>
      <c r="U60" s="25" t="str">
        <f aca="false">IF(AND($A60+(12)&gt;=1,$A60+(12)&lt;=$B$8),INDEX($P$12:$P$71,$A60+(12)),"")</f>
        <v/>
      </c>
      <c r="V60" s="25" t="str">
        <f aca="false">IF(AND($A60+(24)&gt;=1,$A60+(24)&lt;=$B$8),INDEX($P$12:$P$71,$A60+(24)),"")</f>
        <v/>
      </c>
      <c r="W60" s="25" t="str">
        <f aca="false">IF(AND($A60+(36)&gt;=1,$A60+(36)&lt;=$B$8),INDEX($P$12:$P$71,$A60+(36)),"")</f>
        <v/>
      </c>
      <c r="X60" s="25" t="n">
        <f aca="false">IF(SUMPRODUCT(Bobot_Filter!$B$43:$H$43,ISNUMBER(Q60:W60)*1)&gt;0,SUMPRODUCT(Bobot_Filter!$B$43:$H$43,Q60:W60)/SUMPRODUCT(Bobot_Filter!$B$43:$H$43,ISNUMBER(Q60:W60)*1),"")</f>
        <v>0.947125407735599</v>
      </c>
      <c r="Y60" s="25" t="n">
        <f aca="false">IF(AND($A60&gt;=$B$6,$A60&lt;=$B$7),SUMPRODUCT(Bobot_Filter!$B$4:$B$16,X54:X66),"")</f>
        <v>0.999448973985016</v>
      </c>
      <c r="Z60" s="33" t="n">
        <f aca="false">X60/INDEX($Y$12:$Y$71,MAX($B$6,MIN($A60,$B$7)))</f>
        <v>0.947647586208637</v>
      </c>
      <c r="AA60" s="27" t="n">
        <f aca="false">C60/Z60</f>
        <v>348.230718679155</v>
      </c>
      <c r="AB60" s="27" t="n">
        <f aca="false">IF(AND($A60&gt;=$B$6,$A60&lt;=$B$7),SUMPRODUCT(Bobot_Filter!$B$20:$B$32,AA54:AA66),"")</f>
        <v>332.680972519514</v>
      </c>
      <c r="AC60" s="25" t="n">
        <f aca="false">IF(ISNUMBER(AB60),AA60/AB60,"")</f>
        <v>1.04674071390942</v>
      </c>
      <c r="AD60" s="27" t="n">
        <f aca="false">$B$4+$B$3*A60</f>
        <v>325.391159493286</v>
      </c>
      <c r="AE60" s="27" t="n">
        <f aca="false">AD60*Z60</f>
        <v>308.356146867442</v>
      </c>
      <c r="AF60" s="28" t="n">
        <f aca="false">ABS(C60-AE60)/C60</f>
        <v>0.0655874337350249</v>
      </c>
    </row>
    <row r="61" customFormat="false" ht="15" hidden="false" customHeight="false" outlineLevel="0" collapsed="false">
      <c r="A61" s="8" t="n">
        <v>50</v>
      </c>
      <c r="B61" s="22" t="n">
        <f aca="false">Data!B54</f>
        <v>45839</v>
      </c>
      <c r="C61" s="23" t="n">
        <f aca="false">Data!D54</f>
        <v>375</v>
      </c>
      <c r="D61" s="27" t="n">
        <f aca="false">IF(AND($A61&gt;=$B$6,$A61&lt;=$B$7),SUMPRODUCT(Bobot_Filter!$B$4:$B$16,C55:C67),"")</f>
        <v>330.291666666667</v>
      </c>
      <c r="E61" s="25" t="n">
        <f aca="false">IF(ISNUMBER(D61),C61/D61,"")</f>
        <v>1.13536016147345</v>
      </c>
      <c r="F61" s="25" t="n">
        <f aca="false">IF(AND($A61+(-24)&gt;=1,$A61+(-24)&lt;=$B$8),INDEX($E$12:$E$71,$A61+(-24)),"")</f>
        <v>1.11053089643168</v>
      </c>
      <c r="G61" s="25" t="n">
        <f aca="false">IF(AND($A61+(-12)&gt;=1,$A61+(-12)&lt;=$B$8),INDEX($E$12:$E$71,$A61+(-12)),"")</f>
        <v>0.9865273577124</v>
      </c>
      <c r="H61" s="25" t="n">
        <f aca="false">IF(AND($A61+(0)&gt;=1,$A61+(0)&lt;=$B$8),INDEX($E$12:$E$71,$A61+(0)),"")</f>
        <v>1.13536016147345</v>
      </c>
      <c r="I61" s="25" t="str">
        <f aca="false">IF(AND($A61+(12)&gt;=1,$A61+(12)&lt;=$B$8),INDEX($E$12:$E$71,$A61+(12)),"")</f>
        <v/>
      </c>
      <c r="J61" s="25" t="str">
        <f aca="false">IF(AND($A61+(24)&gt;=1,$A61+(24)&lt;=$B$8),INDEX($E$12:$E$71,$A61+(24)),"")</f>
        <v/>
      </c>
      <c r="K61" s="25" t="n">
        <f aca="false">IF(SUMPRODUCT(Bobot_Filter!$B$38:$F$38,ISNUMBER(F61:J61)*1)&gt;0,SUMPRODUCT(Bobot_Filter!$B$38:$F$38,F61:J61)/SUMPRODUCT(Bobot_Filter!$B$38:$F$38,ISNUMBER(F61:J61)*1),"")</f>
        <v>1.08161101604614</v>
      </c>
      <c r="L61" s="25" t="n">
        <f aca="false">IF(AND($A61&gt;=$B$6,$A61&lt;=$B$7),SUMPRODUCT(Bobot_Filter!$B$4:$B$16,K55:K67),"")</f>
        <v>1.0015704113575</v>
      </c>
      <c r="M61" s="25" t="n">
        <f aca="false">K61/INDEX($L$12:$L$71,MAX($B$6,MIN($A61,$B$7)))</f>
        <v>1.07991510509995</v>
      </c>
      <c r="N61" s="27" t="n">
        <f aca="false">C61/M61</f>
        <v>347.249518252911</v>
      </c>
      <c r="O61" s="27" t="n">
        <f aca="false">IF(AND($A61&gt;=$B$6,$A61&lt;=$B$7),SUMPRODUCT(Bobot_Filter!$B$20:$B$32,N55:N67),"")</f>
        <v>335.800429810765</v>
      </c>
      <c r="P61" s="25" t="n">
        <f aca="false">IF(ISNUMBER(O61),C61/O61,"")</f>
        <v>1.11673472309528</v>
      </c>
      <c r="Q61" s="25" t="n">
        <f aca="false">IF(AND($A61+(-36)&gt;=1,$A61+(-36)&lt;=$B$8),INDEX($P$12:$P$71,$A61+(-36)),"")</f>
        <v>1.01100801136646</v>
      </c>
      <c r="R61" s="25" t="n">
        <f aca="false">IF(AND($A61+(-24)&gt;=1,$A61+(-24)&lt;=$B$8),INDEX($P$12:$P$71,$A61+(-24)),"")</f>
        <v>1.09753851884661</v>
      </c>
      <c r="S61" s="25" t="n">
        <f aca="false">IF(AND($A61+(-12)&gt;=1,$A61+(-12)&lt;=$B$8),INDEX($P$12:$P$71,$A61+(-12)),"")</f>
        <v>1.00891806386972</v>
      </c>
      <c r="T61" s="25" t="n">
        <f aca="false">IF(AND($A61+(0)&gt;=1,$A61+(0)&lt;=$B$8),INDEX($P$12:$P$71,$A61+(0)),"")</f>
        <v>1.11673472309528</v>
      </c>
      <c r="U61" s="25" t="str">
        <f aca="false">IF(AND($A61+(12)&gt;=1,$A61+(12)&lt;=$B$8),INDEX($P$12:$P$71,$A61+(12)),"")</f>
        <v/>
      </c>
      <c r="V61" s="25" t="str">
        <f aca="false">IF(AND($A61+(24)&gt;=1,$A61+(24)&lt;=$B$8),INDEX($P$12:$P$71,$A61+(24)),"")</f>
        <v/>
      </c>
      <c r="W61" s="25" t="str">
        <f aca="false">IF(AND($A61+(36)&gt;=1,$A61+(36)&lt;=$B$8),INDEX($P$12:$P$71,$A61+(36)),"")</f>
        <v/>
      </c>
      <c r="X61" s="25" t="n">
        <f aca="false">IF(SUMPRODUCT(Bobot_Filter!$B$43:$H$43,ISNUMBER(Q61:W61)*1)&gt;0,SUMPRODUCT(Bobot_Filter!$B$43:$H$43,Q61:W61)/SUMPRODUCT(Bobot_Filter!$B$43:$H$43,ISNUMBER(Q61:W61)*1),"")</f>
        <v>1.06478260110607</v>
      </c>
      <c r="Y61" s="25" t="n">
        <f aca="false">IF(AND($A61&gt;=$B$6,$A61&lt;=$B$7),SUMPRODUCT(Bobot_Filter!$B$4:$B$16,X55:X67),"")</f>
        <v>0.999374848110212</v>
      </c>
      <c r="Z61" s="33" t="n">
        <f aca="false">X61/INDEX($Y$12:$Y$71,MAX($B$6,MIN($A61,$B$7)))</f>
        <v>1.06544866835457</v>
      </c>
      <c r="AA61" s="27" t="n">
        <f aca="false">C61/Z61</f>
        <v>351.964398790918</v>
      </c>
      <c r="AB61" s="27" t="n">
        <f aca="false">IF(AND($A61&gt;=$B$6,$A61&lt;=$B$7),SUMPRODUCT(Bobot_Filter!$B$20:$B$32,AA55:AA67),"")</f>
        <v>335.408721571576</v>
      </c>
      <c r="AC61" s="25" t="n">
        <f aca="false">IF(ISNUMBER(AB61),AA61/AB61,"")</f>
        <v>1.04935970997346</v>
      </c>
      <c r="AD61" s="27" t="n">
        <f aca="false">$B$4+$B$3*A61</f>
        <v>326.940229112161</v>
      </c>
      <c r="AE61" s="27" t="n">
        <f aca="false">AD61*Z61</f>
        <v>348.338031739089</v>
      </c>
      <c r="AF61" s="28" t="n">
        <f aca="false">ABS(C61-AE61)/C61</f>
        <v>0.0710985820290956</v>
      </c>
    </row>
    <row r="62" customFormat="false" ht="15" hidden="false" customHeight="false" outlineLevel="0" collapsed="false">
      <c r="A62" s="8" t="n">
        <v>51</v>
      </c>
      <c r="B62" s="22" t="n">
        <f aca="false">Data!B55</f>
        <v>45870</v>
      </c>
      <c r="C62" s="23" t="n">
        <f aca="false">Data!D55</f>
        <v>317</v>
      </c>
      <c r="D62" s="27" t="n">
        <f aca="false">IF(AND($A62&gt;=$B$6,$A62&lt;=$B$7),SUMPRODUCT(Bobot_Filter!$B$4:$B$16,C56:C68),"")</f>
        <v>331.666666666667</v>
      </c>
      <c r="E62" s="25" t="n">
        <f aca="false">IF(ISNUMBER(D62),C62/D62,"")</f>
        <v>0.955778894472362</v>
      </c>
      <c r="F62" s="25" t="n">
        <f aca="false">IF(AND($A62+(-24)&gt;=1,$A62+(-24)&lt;=$B$8),INDEX($E$12:$E$71,$A62+(-24)),"")</f>
        <v>0.883667621776504</v>
      </c>
      <c r="G62" s="25" t="n">
        <f aca="false">IF(AND($A62+(-12)&gt;=1,$A62+(-12)&lt;=$B$8),INDEX($E$12:$E$71,$A62+(-12)),"")</f>
        <v>0.940016433853739</v>
      </c>
      <c r="H62" s="25" t="n">
        <f aca="false">IF(AND($A62+(0)&gt;=1,$A62+(0)&lt;=$B$8),INDEX($E$12:$E$71,$A62+(0)),"")</f>
        <v>0.955778894472362</v>
      </c>
      <c r="I62" s="25" t="str">
        <f aca="false">IF(AND($A62+(12)&gt;=1,$A62+(12)&lt;=$B$8),INDEX($E$12:$E$71,$A62+(12)),"")</f>
        <v/>
      </c>
      <c r="J62" s="25" t="str">
        <f aca="false">IF(AND($A62+(24)&gt;=1,$A62+(24)&lt;=$B$8),INDEX($E$12:$E$71,$A62+(24)),"")</f>
        <v/>
      </c>
      <c r="K62" s="25" t="n">
        <f aca="false">IF(SUMPRODUCT(Bobot_Filter!$B$38:$F$38,ISNUMBER(F62:J62)*1)&gt;0,SUMPRODUCT(Bobot_Filter!$B$38:$F$38,F62:J62)/SUMPRODUCT(Bobot_Filter!$B$38:$F$38,ISNUMBER(F62:J62)*1),"")</f>
        <v>0.938506195483511</v>
      </c>
      <c r="L62" s="25" t="n">
        <f aca="false">IF(AND($A62&gt;=$B$6,$A62&lt;=$B$7),SUMPRODUCT(Bobot_Filter!$B$4:$B$16,K56:K68),"")</f>
        <v>1.00236230026553</v>
      </c>
      <c r="M62" s="25" t="n">
        <f aca="false">K62/INDEX($L$12:$L$71,MAX($B$6,MIN($A62,$B$7)))</f>
        <v>0.936294387004476</v>
      </c>
      <c r="N62" s="27" t="n">
        <f aca="false">C62/M62</f>
        <v>338.568728382737</v>
      </c>
      <c r="O62" s="27" t="n">
        <f aca="false">IF(AND($A62&gt;=$B$6,$A62&lt;=$B$7),SUMPRODUCT(Bobot_Filter!$B$20:$B$32,N56:N68),"")</f>
        <v>336.208267097114</v>
      </c>
      <c r="P62" s="25" t="n">
        <f aca="false">IF(ISNUMBER(O62),C62/O62,"")</f>
        <v>0.942867951276267</v>
      </c>
      <c r="Q62" s="25" t="n">
        <f aca="false">IF(AND($A62+(-36)&gt;=1,$A62+(-36)&lt;=$B$8),INDEX($P$12:$P$71,$A62+(-36)),"")</f>
        <v>0.931848654126192</v>
      </c>
      <c r="R62" s="25" t="n">
        <f aca="false">IF(AND($A62+(-24)&gt;=1,$A62+(-24)&lt;=$B$8),INDEX($P$12:$P$71,$A62+(-24)),"")</f>
        <v>0.882136881125933</v>
      </c>
      <c r="S62" s="25" t="n">
        <f aca="false">IF(AND($A62+(-12)&gt;=1,$A62+(-12)&lt;=$B$8),INDEX($P$12:$P$71,$A62+(-12)),"")</f>
        <v>0.950960595017964</v>
      </c>
      <c r="T62" s="25" t="n">
        <f aca="false">IF(AND($A62+(0)&gt;=1,$A62+(0)&lt;=$B$8),INDEX($P$12:$P$71,$A62+(0)),"")</f>
        <v>0.942867951276267</v>
      </c>
      <c r="U62" s="25" t="str">
        <f aca="false">IF(AND($A62+(12)&gt;=1,$A62+(12)&lt;=$B$8),INDEX($P$12:$P$71,$A62+(12)),"")</f>
        <v/>
      </c>
      <c r="V62" s="25" t="str">
        <f aca="false">IF(AND($A62+(24)&gt;=1,$A62+(24)&lt;=$B$8),INDEX($P$12:$P$71,$A62+(24)),"")</f>
        <v/>
      </c>
      <c r="W62" s="25" t="str">
        <f aca="false">IF(AND($A62+(36)&gt;=1,$A62+(36)&lt;=$B$8),INDEX($P$12:$P$71,$A62+(36)),"")</f>
        <v/>
      </c>
      <c r="X62" s="25" t="n">
        <f aca="false">IF(SUMPRODUCT(Bobot_Filter!$B$43:$H$43,ISNUMBER(Q62:W62)*1)&gt;0,SUMPRODUCT(Bobot_Filter!$B$43:$H$43,Q62:W62)/SUMPRODUCT(Bobot_Filter!$B$43:$H$43,ISNUMBER(Q62:W62)*1),"")</f>
        <v>0.930845339473417</v>
      </c>
      <c r="Y62" s="25" t="n">
        <f aca="false">IF(AND($A62&gt;=$B$6,$A62&lt;=$B$7),SUMPRODUCT(Bobot_Filter!$B$4:$B$16,X56:X68),"")</f>
        <v>0.999735220894326</v>
      </c>
      <c r="Z62" s="33" t="n">
        <f aca="false">X62/INDEX($Y$12:$Y$71,MAX($B$6,MIN($A62,$B$7)))</f>
        <v>0.931091873146889</v>
      </c>
      <c r="AA62" s="27" t="n">
        <f aca="false">C62/Z62</f>
        <v>340.4604949763</v>
      </c>
      <c r="AB62" s="27" t="n">
        <f aca="false">IF(AND($A62&gt;=$B$6,$A62&lt;=$B$7),SUMPRODUCT(Bobot_Filter!$B$20:$B$32,AA56:AA68),"")</f>
        <v>336.299601904179</v>
      </c>
      <c r="AC62" s="25" t="n">
        <f aca="false">IF(ISNUMBER(AB62),AA62/AB62,"")</f>
        <v>1.01237257804815</v>
      </c>
      <c r="AD62" s="27" t="n">
        <f aca="false">$B$4+$B$3*A62</f>
        <v>328.489298731036</v>
      </c>
      <c r="AE62" s="27" t="n">
        <f aca="false">AD62*Z62</f>
        <v>305.853716464188</v>
      </c>
      <c r="AF62" s="28" t="n">
        <f aca="false">ABS(C62-AE62)/C62</f>
        <v>0.0351617777154957</v>
      </c>
    </row>
    <row r="63" customFormat="false" ht="15" hidden="false" customHeight="false" outlineLevel="0" collapsed="false">
      <c r="A63" s="8" t="n">
        <v>52</v>
      </c>
      <c r="B63" s="22" t="n">
        <f aca="false">Data!B56</f>
        <v>45901</v>
      </c>
      <c r="C63" s="23" t="n">
        <f aca="false">Data!D56</f>
        <v>306</v>
      </c>
      <c r="D63" s="27" t="n">
        <f aca="false">IF(AND($A63&gt;=$B$6,$A63&lt;=$B$7),SUMPRODUCT(Bobot_Filter!$B$4:$B$16,C57:C69),"")</f>
        <v>333.5</v>
      </c>
      <c r="E63" s="25" t="n">
        <f aca="false">IF(ISNUMBER(D63),C63/D63,"")</f>
        <v>0.917541229385307</v>
      </c>
      <c r="F63" s="25" t="n">
        <f aca="false">IF(AND($A63+(-24)&gt;=1,$A63+(-24)&lt;=$B$8),INDEX($E$12:$E$71,$A63+(-24)),"")</f>
        <v>0.970725498515062</v>
      </c>
      <c r="G63" s="25" t="n">
        <f aca="false">IF(AND($A63+(-12)&gt;=1,$A63+(-12)&lt;=$B$8),INDEX($E$12:$E$71,$A63+(-12)),"")</f>
        <v>0.955824384939514</v>
      </c>
      <c r="H63" s="25" t="n">
        <f aca="false">IF(AND($A63+(0)&gt;=1,$A63+(0)&lt;=$B$8),INDEX($E$12:$E$71,$A63+(0)),"")</f>
        <v>0.917541229385307</v>
      </c>
      <c r="I63" s="25" t="str">
        <f aca="false">IF(AND($A63+(12)&gt;=1,$A63+(12)&lt;=$B$8),INDEX($E$12:$E$71,$A63+(12)),"")</f>
        <v/>
      </c>
      <c r="J63" s="25" t="str">
        <f aca="false">IF(AND($A63+(24)&gt;=1,$A63+(24)&lt;=$B$8),INDEX($E$12:$E$71,$A63+(24)),"")</f>
        <v/>
      </c>
      <c r="K63" s="25" t="n">
        <f aca="false">IF(SUMPRODUCT(Bobot_Filter!$B$38:$F$38,ISNUMBER(F63:J63)*1)&gt;0,SUMPRODUCT(Bobot_Filter!$B$38:$F$38,F63:J63)/SUMPRODUCT(Bobot_Filter!$B$38:$F$38,ISNUMBER(F63:J63)*1),"")</f>
        <v>0.939166326091668</v>
      </c>
      <c r="L63" s="25" t="n">
        <f aca="false">IF(AND($A63&gt;=$B$6,$A63&lt;=$B$7),SUMPRODUCT(Bobot_Filter!$B$4:$B$16,K57:K69),"")</f>
        <v>1.00371323316719</v>
      </c>
      <c r="M63" s="25" t="n">
        <f aca="false">K63/INDEX($L$12:$L$71,MAX($B$6,MIN($A63,$B$7)))</f>
        <v>0.935691883953903</v>
      </c>
      <c r="N63" s="27" t="n">
        <f aca="false">C63/M63</f>
        <v>327.030730144791</v>
      </c>
      <c r="O63" s="27" t="n">
        <f aca="false">IF(AND($A63&gt;=$B$6,$A63&lt;=$B$7),SUMPRODUCT(Bobot_Filter!$B$20:$B$32,N57:N69),"")</f>
        <v>335.055400381389</v>
      </c>
      <c r="P63" s="25" t="n">
        <f aca="false">IF(ISNUMBER(O63),C63/O63,"")</f>
        <v>0.913281802506942</v>
      </c>
      <c r="Q63" s="25" t="n">
        <f aca="false">IF(AND($A63+(-36)&gt;=1,$A63+(-36)&lt;=$B$8),INDEX($P$12:$P$71,$A63+(-36)),"")</f>
        <v>0.896969462715834</v>
      </c>
      <c r="R63" s="25" t="n">
        <f aca="false">IF(AND($A63+(-24)&gt;=1,$A63+(-24)&lt;=$B$8),INDEX($P$12:$P$71,$A63+(-24)),"")</f>
        <v>0.980055871206336</v>
      </c>
      <c r="S63" s="25" t="n">
        <f aca="false">IF(AND($A63+(-12)&gt;=1,$A63+(-12)&lt;=$B$8),INDEX($P$12:$P$71,$A63+(-12)),"")</f>
        <v>0.95959081361067</v>
      </c>
      <c r="T63" s="25" t="n">
        <f aca="false">IF(AND($A63+(0)&gt;=1,$A63+(0)&lt;=$B$8),INDEX($P$12:$P$71,$A63+(0)),"")</f>
        <v>0.913281802506942</v>
      </c>
      <c r="U63" s="25" t="str">
        <f aca="false">IF(AND($A63+(12)&gt;=1,$A63+(12)&lt;=$B$8),INDEX($P$12:$P$71,$A63+(12)),"")</f>
        <v/>
      </c>
      <c r="V63" s="25" t="str">
        <f aca="false">IF(AND($A63+(24)&gt;=1,$A63+(24)&lt;=$B$8),INDEX($P$12:$P$71,$A63+(24)),"")</f>
        <v/>
      </c>
      <c r="W63" s="25" t="str">
        <f aca="false">IF(AND($A63+(36)&gt;=1,$A63+(36)&lt;=$B$8),INDEX($P$12:$P$71,$A63+(36)),"")</f>
        <v/>
      </c>
      <c r="X63" s="25" t="n">
        <f aca="false">IF(SUMPRODUCT(Bobot_Filter!$B$43:$H$43,ISNUMBER(Q63:W63)*1)&gt;0,SUMPRODUCT(Bobot_Filter!$B$43:$H$43,Q63:W63)/SUMPRODUCT(Bobot_Filter!$B$43:$H$43,ISNUMBER(Q63:W63)*1),"")</f>
        <v>0.941744339275705</v>
      </c>
      <c r="Y63" s="25" t="n">
        <f aca="false">IF(AND($A63&gt;=$B$6,$A63&lt;=$B$7),SUMPRODUCT(Bobot_Filter!$B$4:$B$16,X57:X69),"")</f>
        <v>1.00167228723413</v>
      </c>
      <c r="Z63" s="33" t="n">
        <f aca="false">X63/INDEX($Y$12:$Y$71,MAX($B$6,MIN($A63,$B$7)))</f>
        <v>0.940172101472524</v>
      </c>
      <c r="AA63" s="27" t="n">
        <f aca="false">C63/Z63</f>
        <v>325.472325248467</v>
      </c>
      <c r="AB63" s="27" t="n">
        <f aca="false">IF(AND($A63&gt;=$B$6,$A63&lt;=$B$7),SUMPRODUCT(Bobot_Filter!$B$20:$B$32,AA57:AA69),"")</f>
        <v>335.201515595524</v>
      </c>
      <c r="AC63" s="25" t="n">
        <f aca="false">IF(ISNUMBER(AB63),AA63/AB63,"")</f>
        <v>0.970975100366799</v>
      </c>
      <c r="AD63" s="27" t="n">
        <f aca="false">$B$4+$B$3*A63</f>
        <v>330.038368349911</v>
      </c>
      <c r="AE63" s="27" t="n">
        <f aca="false">AD63*Z63</f>
        <v>310.292866338098</v>
      </c>
      <c r="AF63" s="28" t="n">
        <f aca="false">ABS(C63-AE63)/C63</f>
        <v>0.0140289749611061</v>
      </c>
    </row>
    <row r="64" customFormat="false" ht="15" hidden="false" customHeight="false" outlineLevel="0" collapsed="false">
      <c r="A64" s="8" t="n">
        <v>53</v>
      </c>
      <c r="B64" s="22" t="n">
        <f aca="false">Data!B57</f>
        <v>45931</v>
      </c>
      <c r="C64" s="23" t="n">
        <f aca="false">Data!D57</f>
        <v>285</v>
      </c>
      <c r="D64" s="27" t="n">
        <f aca="false">IF(AND($A64&gt;=$B$6,$A64&lt;=$B$7),SUMPRODUCT(Bobot_Filter!$B$4:$B$16,C58:C70),"")</f>
        <v>332.291666666667</v>
      </c>
      <c r="E64" s="25" t="n">
        <f aca="false">IF(ISNUMBER(D64),C64/D64,"")</f>
        <v>0.857680250783699</v>
      </c>
      <c r="F64" s="25" t="n">
        <f aca="false">IF(AND($A64+(-24)&gt;=1,$A64+(-24)&lt;=$B$8),INDEX($E$12:$E$71,$A64+(-24)),"")</f>
        <v>0.85171102661597</v>
      </c>
      <c r="G64" s="25" t="n">
        <f aca="false">IF(AND($A64+(-12)&gt;=1,$A64+(-12)&lt;=$B$8),INDEX($E$12:$E$71,$A64+(-12)),"")</f>
        <v>0.916868442292171</v>
      </c>
      <c r="H64" s="25" t="n">
        <f aca="false">IF(AND($A64+(0)&gt;=1,$A64+(0)&lt;=$B$8),INDEX($E$12:$E$71,$A64+(0)),"")</f>
        <v>0.857680250783699</v>
      </c>
      <c r="I64" s="25" t="str">
        <f aca="false">IF(AND($A64+(12)&gt;=1,$A64+(12)&lt;=$B$8),INDEX($E$12:$E$71,$A64+(12)),"")</f>
        <v/>
      </c>
      <c r="J64" s="25" t="str">
        <f aca="false">IF(AND($A64+(24)&gt;=1,$A64+(24)&lt;=$B$8),INDEX($E$12:$E$71,$A64+(24)),"")</f>
        <v/>
      </c>
      <c r="K64" s="25" t="n">
        <f aca="false">IF(SUMPRODUCT(Bobot_Filter!$B$38:$F$38,ISNUMBER(F64:J64)*1)&gt;0,SUMPRODUCT(Bobot_Filter!$B$38:$F$38,F64:J64)/SUMPRODUCT(Bobot_Filter!$B$38:$F$38,ISNUMBER(F64:J64)*1),"")</f>
        <v>0.876414777258568</v>
      </c>
      <c r="L64" s="25" t="n">
        <f aca="false">IF(AND($A64&gt;=$B$6,$A64&lt;=$B$7),SUMPRODUCT(Bobot_Filter!$B$4:$B$16,K58:K70),"")</f>
        <v>1.00395619620304</v>
      </c>
      <c r="M64" s="25" t="n">
        <f aca="false">K64/INDEX($L$12:$L$71,MAX($B$6,MIN($A64,$B$7)))</f>
        <v>0.872961171586139</v>
      </c>
      <c r="N64" s="27" t="n">
        <f aca="false">C64/M64</f>
        <v>326.475001725638</v>
      </c>
      <c r="O64" s="27" t="n">
        <f aca="false">IF(AND($A64&gt;=$B$6,$A64&lt;=$B$7),SUMPRODUCT(Bobot_Filter!$B$20:$B$32,N58:N70),"")</f>
        <v>334.073083114333</v>
      </c>
      <c r="P64" s="25" t="n">
        <f aca="false">IF(ISNUMBER(O64),C64/O64,"")</f>
        <v>0.853106743420156</v>
      </c>
      <c r="Q64" s="25" t="n">
        <f aca="false">IF(AND($A64+(-36)&gt;=1,$A64+(-36)&lt;=$B$8),INDEX($P$12:$P$71,$A64+(-36)),"")</f>
        <v>0.906224098324454</v>
      </c>
      <c r="R64" s="25" t="n">
        <f aca="false">IF(AND($A64+(-24)&gt;=1,$A64+(-24)&lt;=$B$8),INDEX($P$12:$P$71,$A64+(-24)),"")</f>
        <v>0.859196049380856</v>
      </c>
      <c r="S64" s="25" t="n">
        <f aca="false">IF(AND($A64+(-12)&gt;=1,$A64+(-12)&lt;=$B$8),INDEX($P$12:$P$71,$A64+(-12)),"")</f>
        <v>0.917866714886047</v>
      </c>
      <c r="T64" s="25" t="n">
        <f aca="false">IF(AND($A64+(0)&gt;=1,$A64+(0)&lt;=$B$8),INDEX($P$12:$P$71,$A64+(0)),"")</f>
        <v>0.853106743420156</v>
      </c>
      <c r="U64" s="25" t="str">
        <f aca="false">IF(AND($A64+(12)&gt;=1,$A64+(12)&lt;=$B$8),INDEX($P$12:$P$71,$A64+(12)),"")</f>
        <v/>
      </c>
      <c r="V64" s="25" t="str">
        <f aca="false">IF(AND($A64+(24)&gt;=1,$A64+(24)&lt;=$B$8),INDEX($P$12:$P$71,$A64+(24)),"")</f>
        <v/>
      </c>
      <c r="W64" s="25" t="str">
        <f aca="false">IF(AND($A64+(36)&gt;=1,$A64+(36)&lt;=$B$8),INDEX($P$12:$P$71,$A64+(36)),"")</f>
        <v/>
      </c>
      <c r="X64" s="25" t="n">
        <f aca="false">IF(SUMPRODUCT(Bobot_Filter!$B$43:$H$43,ISNUMBER(Q64:W64)*1)&gt;0,SUMPRODUCT(Bobot_Filter!$B$43:$H$43,Q64:W64)/SUMPRODUCT(Bobot_Filter!$B$43:$H$43,ISNUMBER(Q64:W64)*1),"")</f>
        <v>0.881948508000531</v>
      </c>
      <c r="Y64" s="25" t="n">
        <f aca="false">IF(AND($A64&gt;=$B$6,$A64&lt;=$B$7),SUMPRODUCT(Bobot_Filter!$B$4:$B$16,X58:X70),"")</f>
        <v>1.00227068321423</v>
      </c>
      <c r="Z64" s="33" t="n">
        <f aca="false">X64/INDEX($Y$12:$Y$71,MAX($B$6,MIN($A64,$B$7)))</f>
        <v>0.879950419353953</v>
      </c>
      <c r="AA64" s="27" t="n">
        <f aca="false">C64/Z64</f>
        <v>323.881884401218</v>
      </c>
      <c r="AB64" s="27" t="n">
        <f aca="false">IF(AND($A64&gt;=$B$6,$A64&lt;=$B$7),SUMPRODUCT(Bobot_Filter!$B$20:$B$32,AA58:AA70),"")</f>
        <v>334.14700113566</v>
      </c>
      <c r="AC64" s="25" t="n">
        <f aca="false">IF(ISNUMBER(AB64),AA64/AB64,"")</f>
        <v>0.969279638304236</v>
      </c>
      <c r="AD64" s="27" t="n">
        <f aca="false">$B$4+$B$3*A64</f>
        <v>331.587437968786</v>
      </c>
      <c r="AE64" s="27" t="n">
        <f aca="false">AD64*Z64</f>
        <v>291.780505093136</v>
      </c>
      <c r="AF64" s="28" t="n">
        <f aca="false">ABS(C64-AE64)/C64</f>
        <v>0.0237912459408279</v>
      </c>
    </row>
    <row r="65" customFormat="false" ht="15" hidden="false" customHeight="false" outlineLevel="0" collapsed="false">
      <c r="A65" s="8" t="n">
        <v>54</v>
      </c>
      <c r="B65" s="22" t="n">
        <f aca="false">Data!B58</f>
        <v>45962</v>
      </c>
      <c r="C65" s="23" t="n">
        <f aca="false">Data!D58</f>
        <v>311</v>
      </c>
      <c r="D65" s="27" t="n">
        <f aca="false">IF(AND($A65&gt;=$B$6,$A65&lt;=$B$7),SUMPRODUCT(Bobot_Filter!$B$4:$B$16,C59:C71),"")</f>
        <v>331.708333333333</v>
      </c>
      <c r="E65" s="25" t="n">
        <f aca="false">IF(ISNUMBER(D65),C65/D65,"")</f>
        <v>0.937570656952644</v>
      </c>
      <c r="F65" s="25" t="n">
        <f aca="false">IF(AND($A65+(-24)&gt;=1,$A65+(-24)&lt;=$B$8),INDEX($E$12:$E$71,$A65+(-24)),"")</f>
        <v>0.920214265576544</v>
      </c>
      <c r="G65" s="25" t="n">
        <f aca="false">IF(AND($A65+(-12)&gt;=1,$A65+(-12)&lt;=$B$8),INDEX($E$12:$E$71,$A65+(-12)),"")</f>
        <v>0.881619520042901</v>
      </c>
      <c r="H65" s="25" t="n">
        <f aca="false">IF(AND($A65+(0)&gt;=1,$A65+(0)&lt;=$B$8),INDEX($E$12:$E$71,$A65+(0)),"")</f>
        <v>0.937570656952644</v>
      </c>
      <c r="I65" s="25" t="str">
        <f aca="false">IF(AND($A65+(12)&gt;=1,$A65+(12)&lt;=$B$8),INDEX($E$12:$E$71,$A65+(12)),"")</f>
        <v/>
      </c>
      <c r="J65" s="25" t="str">
        <f aca="false">IF(AND($A65+(24)&gt;=1,$A65+(24)&lt;=$B$8),INDEX($E$12:$E$71,$A65+(24)),"")</f>
        <v/>
      </c>
      <c r="K65" s="25" t="n">
        <f aca="false">IF(SUMPRODUCT(Bobot_Filter!$B$38:$F$38,ISNUMBER(F65:J65)*1)&gt;0,SUMPRODUCT(Bobot_Filter!$B$38:$F$38,F65:J65)/SUMPRODUCT(Bobot_Filter!$B$38:$F$38,ISNUMBER(F65:J65)*1),"")</f>
        <v>0.916027546086713</v>
      </c>
      <c r="L65" s="25" t="n">
        <f aca="false">IF(AND($A65&gt;=$B$6,$A65&lt;=$B$7),SUMPRODUCT(Bobot_Filter!$B$4:$B$16,K59:K71),"")</f>
        <v>1.00242123992913</v>
      </c>
      <c r="M65" s="25" t="n">
        <f aca="false">K65/INDEX($L$12:$L$71,MAX($B$6,MIN($A65,$B$7)))</f>
        <v>0.913814980767445</v>
      </c>
      <c r="N65" s="27" t="n">
        <f aca="false">C65/M65</f>
        <v>340.331474691752</v>
      </c>
      <c r="O65" s="27" t="n">
        <f aca="false">IF(AND($A65&gt;=$B$6,$A65&lt;=$B$7),SUMPRODUCT(Bobot_Filter!$B$20:$B$32,N59:N71),"")</f>
        <v>333.151521232194</v>
      </c>
      <c r="P65" s="25" t="n">
        <f aca="false">IF(ISNUMBER(O65),C65/O65,"")</f>
        <v>0.933509169790779</v>
      </c>
      <c r="Q65" s="25" t="n">
        <f aca="false">IF(AND($A65+(-36)&gt;=1,$A65+(-36)&lt;=$B$8),INDEX($P$12:$P$71,$A65+(-36)),"")</f>
        <v>0.953882286155641</v>
      </c>
      <c r="R65" s="25" t="n">
        <f aca="false">IF(AND($A65+(-24)&gt;=1,$A65+(-24)&lt;=$B$8),INDEX($P$12:$P$71,$A65+(-24)),"")</f>
        <v>0.920120502119935</v>
      </c>
      <c r="S65" s="25" t="n">
        <f aca="false">IF(AND($A65+(-12)&gt;=1,$A65+(-12)&lt;=$B$8),INDEX($P$12:$P$71,$A65+(-12)),"")</f>
        <v>0.875464314911227</v>
      </c>
      <c r="T65" s="25" t="n">
        <f aca="false">IF(AND($A65+(0)&gt;=1,$A65+(0)&lt;=$B$8),INDEX($P$12:$P$71,$A65+(0)),"")</f>
        <v>0.933509169790779</v>
      </c>
      <c r="U65" s="25" t="str">
        <f aca="false">IF(AND($A65+(12)&gt;=1,$A65+(12)&lt;=$B$8),INDEX($P$12:$P$71,$A65+(12)),"")</f>
        <v/>
      </c>
      <c r="V65" s="25" t="str">
        <f aca="false">IF(AND($A65+(24)&gt;=1,$A65+(24)&lt;=$B$8),INDEX($P$12:$P$71,$A65+(24)),"")</f>
        <v/>
      </c>
      <c r="W65" s="25" t="str">
        <f aca="false">IF(AND($A65+(36)&gt;=1,$A65+(36)&lt;=$B$8),INDEX($P$12:$P$71,$A65+(36)),"")</f>
        <v/>
      </c>
      <c r="X65" s="25" t="n">
        <f aca="false">IF(SUMPRODUCT(Bobot_Filter!$B$43:$H$43,ISNUMBER(Q65:W65)*1)&gt;0,SUMPRODUCT(Bobot_Filter!$B$43:$H$43,Q65:W65)/SUMPRODUCT(Bobot_Filter!$B$43:$H$43,ISNUMBER(Q65:W65)*1),"")</f>
        <v>0.913449304944614</v>
      </c>
      <c r="Y65" s="25" t="n">
        <f aca="false">IF(AND($A65&gt;=$B$6,$A65&lt;=$B$7),SUMPRODUCT(Bobot_Filter!$B$4:$B$16,X59:X71),"")</f>
        <v>0.999742059579174</v>
      </c>
      <c r="Z65" s="33" t="n">
        <f aca="false">X65/INDEX($Y$12:$Y$71,MAX($B$6,MIN($A65,$B$7)))</f>
        <v>0.913684981233176</v>
      </c>
      <c r="AA65" s="27" t="n">
        <f aca="false">C65/Z65</f>
        <v>340.379897216053</v>
      </c>
      <c r="AB65" s="27" t="n">
        <f aca="false">IF(AND($A65&gt;=$B$6,$A65&lt;=$B$7),SUMPRODUCT(Bobot_Filter!$B$20:$B$32,AA59:AA71),"")</f>
        <v>333.1881197262</v>
      </c>
      <c r="AC65" s="25" t="n">
        <f aca="false">IF(ISNUMBER(AB65),AA65/AB65,"")</f>
        <v>1.02158473566153</v>
      </c>
      <c r="AD65" s="27" t="n">
        <f aca="false">$B$4+$B$3*A65</f>
        <v>333.136507587661</v>
      </c>
      <c r="AE65" s="27" t="n">
        <f aca="false">AD65*Z65</f>
        <v>304.381823683317</v>
      </c>
      <c r="AF65" s="28" t="n">
        <f aca="false">ABS(C65-AE65)/C65</f>
        <v>0.0212803096999438</v>
      </c>
    </row>
    <row r="66" customFormat="false" ht="15" hidden="false" customHeight="false" outlineLevel="0" collapsed="false">
      <c r="A66" s="8" t="n">
        <v>55</v>
      </c>
      <c r="B66" s="22" t="n">
        <f aca="false">Data!B59</f>
        <v>45992</v>
      </c>
      <c r="C66" s="23" t="n">
        <f aca="false">Data!D59</f>
        <v>364</v>
      </c>
      <c r="D66" s="27" t="str">
        <f aca="false">IF(AND($A66&gt;=$B$6,$A66&lt;=$B$7),SUMPRODUCT(Bobot_Filter!$B$4:$B$16,C60:C72),"")</f>
        <v/>
      </c>
      <c r="E66" s="25" t="str">
        <f aca="false">IF(ISNUMBER(D66),C66/D66,"")</f>
        <v/>
      </c>
      <c r="F66" s="25" t="n">
        <f aca="false">IF(AND($A66+(-24)&gt;=1,$A66+(-24)&lt;=$B$8),INDEX($E$12:$E$71,$A66+(-24)),"")</f>
        <v>1.07588532883643</v>
      </c>
      <c r="G66" s="25" t="n">
        <f aca="false">IF(AND($A66+(-12)&gt;=1,$A66+(-12)&lt;=$B$8),INDEX($E$12:$E$71,$A66+(-12)),"")</f>
        <v>1.08626198083067</v>
      </c>
      <c r="H66" s="25" t="str">
        <f aca="false">IF(AND($A66+(0)&gt;=1,$A66+(0)&lt;=$B$8),INDEX($E$12:$E$71,$A66+(0)),"")</f>
        <v/>
      </c>
      <c r="I66" s="25" t="str">
        <f aca="false">IF(AND($A66+(12)&gt;=1,$A66+(12)&lt;=$B$8),INDEX($E$12:$E$71,$A66+(12)),"")</f>
        <v/>
      </c>
      <c r="J66" s="25" t="str">
        <f aca="false">IF(AND($A66+(24)&gt;=1,$A66+(24)&lt;=$B$8),INDEX($E$12:$E$71,$A66+(24)),"")</f>
        <v/>
      </c>
      <c r="K66" s="25" t="n">
        <f aca="false">IF(SUMPRODUCT(Bobot_Filter!$B$38:$F$38,ISNUMBER(F66:J66)*1)&gt;0,SUMPRODUCT(Bobot_Filter!$B$38:$F$38,F66:J66)/SUMPRODUCT(Bobot_Filter!$B$38:$F$38,ISNUMBER(F66:J66)*1),"")</f>
        <v>1.08280309683259</v>
      </c>
      <c r="L66" s="25" t="str">
        <f aca="false">IF(AND($A66&gt;=$B$6,$A66&lt;=$B$7),SUMPRODUCT(Bobot_Filter!$B$4:$B$16,K60:K72),"")</f>
        <v/>
      </c>
      <c r="M66" s="25" t="n">
        <f aca="false">K66/INDEX($L$12:$L$71,MAX($B$6,MIN($A66,$B$7)))</f>
        <v>1.08018770323457</v>
      </c>
      <c r="N66" s="27" t="n">
        <f aca="false">C66/M66</f>
        <v>336.978470417707</v>
      </c>
      <c r="O66" s="27" t="str">
        <f aca="false">IF(AND($A66&gt;=$B$6,$A66&lt;=$B$7),SUMPRODUCT(Bobot_Filter!$B$20:$B$32,N60:N72),"")</f>
        <v/>
      </c>
      <c r="P66" s="25" t="str">
        <f aca="false">IF(ISNUMBER(O66),C66/O66,"")</f>
        <v/>
      </c>
      <c r="Q66" s="25" t="n">
        <f aca="false">IF(AND($A66+(-36)&gt;=1,$A66+(-36)&lt;=$B$8),INDEX($P$12:$P$71,$A66+(-36)),"")</f>
        <v>1.15559712547743</v>
      </c>
      <c r="R66" s="25" t="n">
        <f aca="false">IF(AND($A66+(-24)&gt;=1,$A66+(-24)&lt;=$B$8),INDEX($P$12:$P$71,$A66+(-24)),"")</f>
        <v>1.06908151333573</v>
      </c>
      <c r="S66" s="25" t="n">
        <f aca="false">IF(AND($A66+(-12)&gt;=1,$A66+(-12)&lt;=$B$8),INDEX($P$12:$P$71,$A66+(-12)),"")</f>
        <v>1.07652151167566</v>
      </c>
      <c r="T66" s="25" t="str">
        <f aca="false">IF(AND($A66+(0)&gt;=1,$A66+(0)&lt;=$B$8),INDEX($P$12:$P$71,$A66+(0)),"")</f>
        <v/>
      </c>
      <c r="U66" s="25" t="str">
        <f aca="false">IF(AND($A66+(12)&gt;=1,$A66+(12)&lt;=$B$8),INDEX($P$12:$P$71,$A66+(12)),"")</f>
        <v/>
      </c>
      <c r="V66" s="25" t="str">
        <f aca="false">IF(AND($A66+(24)&gt;=1,$A66+(24)&lt;=$B$8),INDEX($P$12:$P$71,$A66+(24)),"")</f>
        <v/>
      </c>
      <c r="W66" s="25" t="str">
        <f aca="false">IF(AND($A66+(36)&gt;=1,$A66+(36)&lt;=$B$8),INDEX($P$12:$P$71,$A66+(36)),"")</f>
        <v/>
      </c>
      <c r="X66" s="25" t="n">
        <f aca="false">IF(SUMPRODUCT(Bobot_Filter!$B$43:$H$43,ISNUMBER(Q66:W66)*1)&gt;0,SUMPRODUCT(Bobot_Filter!$B$43:$H$43,Q66:W66)/SUMPRODUCT(Bobot_Filter!$B$43:$H$43,ISNUMBER(Q66:W66)*1),"")</f>
        <v>1.08722078119598</v>
      </c>
      <c r="Y66" s="25" t="str">
        <f aca="false">IF(AND($A66&gt;=$B$6,$A66&lt;=$B$7),SUMPRODUCT(Bobot_Filter!$B$4:$B$16,X60:X72),"")</f>
        <v/>
      </c>
      <c r="Z66" s="33" t="n">
        <f aca="false">X66/INDEX($Y$12:$Y$71,MAX($B$6,MIN($A66,$B$7)))</f>
        <v>1.08750129173682</v>
      </c>
      <c r="AA66" s="27" t="n">
        <f aca="false">C66/Z66</f>
        <v>334.712246105626</v>
      </c>
      <c r="AB66" s="27" t="str">
        <f aca="false">IF(AND($A66&gt;=$B$6,$A66&lt;=$B$7),SUMPRODUCT(Bobot_Filter!$B$20:$B$32,AA60:AA72),"")</f>
        <v/>
      </c>
      <c r="AC66" s="25" t="str">
        <f aca="false">IF(ISNUMBER(AB66),AA66/AB66,"")</f>
        <v/>
      </c>
      <c r="AD66" s="27" t="n">
        <f aca="false">$B$4+$B$3*A66</f>
        <v>334.685577206536</v>
      </c>
      <c r="AE66" s="27" t="n">
        <f aca="false">AD66*Z66</f>
        <v>363.97099753779</v>
      </c>
      <c r="AF66" s="28" t="n">
        <f aca="false">ABS(C66-AE66)/C66</f>
        <v>7.96770939837563E-005</v>
      </c>
    </row>
    <row r="67" customFormat="false" ht="15" hidden="false" customHeight="false" outlineLevel="0" collapsed="false">
      <c r="A67" s="8" t="n">
        <v>56</v>
      </c>
      <c r="B67" s="22" t="n">
        <f aca="false">Data!B60</f>
        <v>46023</v>
      </c>
      <c r="C67" s="23" t="n">
        <f aca="false">Data!D60</f>
        <v>343</v>
      </c>
      <c r="D67" s="27" t="str">
        <f aca="false">IF(AND($A67&gt;=$B$6,$A67&lt;=$B$7),SUMPRODUCT(Bobot_Filter!$B$4:$B$16,C61:C73),"")</f>
        <v/>
      </c>
      <c r="E67" s="25" t="str">
        <f aca="false">IF(ISNUMBER(D67),C67/D67,"")</f>
        <v/>
      </c>
      <c r="F67" s="25" t="n">
        <f aca="false">IF(AND($A67+(-24)&gt;=1,$A67+(-24)&lt;=$B$8),INDEX($E$12:$E$71,$A67+(-24)),"")</f>
        <v>1.12996898787708</v>
      </c>
      <c r="G67" s="25" t="n">
        <f aca="false">IF(AND($A67+(-12)&gt;=1,$A67+(-12)&lt;=$B$8),INDEX($E$12:$E$71,$A67+(-12)),"")</f>
        <v>1.10460251046025</v>
      </c>
      <c r="H67" s="25" t="str">
        <f aca="false">IF(AND($A67+(0)&gt;=1,$A67+(0)&lt;=$B$8),INDEX($E$12:$E$71,$A67+(0)),"")</f>
        <v/>
      </c>
      <c r="I67" s="25" t="str">
        <f aca="false">IF(AND($A67+(12)&gt;=1,$A67+(12)&lt;=$B$8),INDEX($E$12:$E$71,$A67+(12)),"")</f>
        <v/>
      </c>
      <c r="J67" s="25" t="str">
        <f aca="false">IF(AND($A67+(24)&gt;=1,$A67+(24)&lt;=$B$8),INDEX($E$12:$E$71,$A67+(24)),"")</f>
        <v/>
      </c>
      <c r="K67" s="25" t="n">
        <f aca="false">IF(SUMPRODUCT(Bobot_Filter!$B$38:$F$38,ISNUMBER(F67:J67)*1)&gt;0,SUMPRODUCT(Bobot_Filter!$B$38:$F$38,F67:J67)/SUMPRODUCT(Bobot_Filter!$B$38:$F$38,ISNUMBER(F67:J67)*1),"")</f>
        <v>1.11305800293253</v>
      </c>
      <c r="L67" s="25" t="str">
        <f aca="false">IF(AND($A67&gt;=$B$6,$A67&lt;=$B$7),SUMPRODUCT(Bobot_Filter!$B$4:$B$16,K61:K73),"")</f>
        <v/>
      </c>
      <c r="M67" s="25" t="n">
        <f aca="false">K67/INDEX($L$12:$L$71,MAX($B$6,MIN($A67,$B$7)))</f>
        <v>1.11036953188584</v>
      </c>
      <c r="N67" s="27" t="n">
        <f aca="false">C67/M67</f>
        <v>308.90617055878</v>
      </c>
      <c r="O67" s="27" t="str">
        <f aca="false">IF(AND($A67&gt;=$B$6,$A67&lt;=$B$7),SUMPRODUCT(Bobot_Filter!$B$20:$B$32,N61:N73),"")</f>
        <v/>
      </c>
      <c r="P67" s="25" t="str">
        <f aca="false">IF(ISNUMBER(O67),C67/O67,"")</f>
        <v/>
      </c>
      <c r="Q67" s="25" t="n">
        <f aca="false">IF(AND($A67+(-36)&gt;=1,$A67+(-36)&lt;=$B$8),INDEX($P$12:$P$71,$A67+(-36)),"")</f>
        <v>1.00605186014189</v>
      </c>
      <c r="R67" s="25" t="n">
        <f aca="false">IF(AND($A67+(-24)&gt;=1,$A67+(-24)&lt;=$B$8),INDEX($P$12:$P$71,$A67+(-24)),"")</f>
        <v>1.10820549559171</v>
      </c>
      <c r="S67" s="25" t="n">
        <f aca="false">IF(AND($A67+(-12)&gt;=1,$A67+(-12)&lt;=$B$8),INDEX($P$12:$P$71,$A67+(-12)),"")</f>
        <v>1.10836608170094</v>
      </c>
      <c r="T67" s="25" t="str">
        <f aca="false">IF(AND($A67+(0)&gt;=1,$A67+(0)&lt;=$B$8),INDEX($P$12:$P$71,$A67+(0)),"")</f>
        <v/>
      </c>
      <c r="U67" s="25" t="str">
        <f aca="false">IF(AND($A67+(12)&gt;=1,$A67+(12)&lt;=$B$8),INDEX($P$12:$P$71,$A67+(12)),"")</f>
        <v/>
      </c>
      <c r="V67" s="25" t="str">
        <f aca="false">IF(AND($A67+(24)&gt;=1,$A67+(24)&lt;=$B$8),INDEX($P$12:$P$71,$A67+(24)),"")</f>
        <v/>
      </c>
      <c r="W67" s="25" t="str">
        <f aca="false">IF(AND($A67+(36)&gt;=1,$A67+(36)&lt;=$B$8),INDEX($P$12:$P$71,$A67+(36)),"")</f>
        <v/>
      </c>
      <c r="X67" s="25" t="n">
        <f aca="false">IF(SUMPRODUCT(Bobot_Filter!$B$43:$H$43,ISNUMBER(Q67:W67)*1)&gt;0,SUMPRODUCT(Bobot_Filter!$B$43:$H$43,Q67:W67)/SUMPRODUCT(Bobot_Filter!$B$43:$H$43,ISNUMBER(Q67:W67)*1),"")</f>
        <v>1.09126018273802</v>
      </c>
      <c r="Y67" s="25" t="str">
        <f aca="false">IF(AND($A67&gt;=$B$6,$A67&lt;=$B$7),SUMPRODUCT(Bobot_Filter!$B$4:$B$16,X61:X73),"")</f>
        <v/>
      </c>
      <c r="Z67" s="33" t="n">
        <f aca="false">X67/INDEX($Y$12:$Y$71,MAX($B$6,MIN($A67,$B$7)))</f>
        <v>1.09154173547262</v>
      </c>
      <c r="AA67" s="27" t="n">
        <f aca="false">C67/Z67</f>
        <v>314.234434518884</v>
      </c>
      <c r="AB67" s="27" t="str">
        <f aca="false">IF(AND($A67&gt;=$B$6,$A67&lt;=$B$7),SUMPRODUCT(Bobot_Filter!$B$20:$B$32,AA61:AA73),"")</f>
        <v/>
      </c>
      <c r="AC67" s="25" t="str">
        <f aca="false">IF(ISNUMBER(AB67),AA67/AB67,"")</f>
        <v/>
      </c>
      <c r="AD67" s="27" t="n">
        <f aca="false">$B$4+$B$3*A67</f>
        <v>336.234646825411</v>
      </c>
      <c r="AE67" s="27" t="n">
        <f aca="false">AD67*Z67</f>
        <v>367.014149921833</v>
      </c>
      <c r="AF67" s="28" t="n">
        <f aca="false">ABS(C67-AE67)/C67</f>
        <v>0.0700120988974715</v>
      </c>
    </row>
    <row r="68" customFormat="false" ht="15" hidden="false" customHeight="false" outlineLevel="0" collapsed="false">
      <c r="A68" s="8" t="n">
        <v>57</v>
      </c>
      <c r="B68" s="22" t="n">
        <f aca="false">Data!B61</f>
        <v>46054</v>
      </c>
      <c r="C68" s="23" t="n">
        <f aca="false">Data!D61</f>
        <v>336</v>
      </c>
      <c r="D68" s="27" t="str">
        <f aca="false">IF(AND($A68&gt;=$B$6,$A68&lt;=$B$7),SUMPRODUCT(Bobot_Filter!$B$4:$B$16,C62:C74),"")</f>
        <v/>
      </c>
      <c r="E68" s="25" t="str">
        <f aca="false">IF(ISNUMBER(D68),C68/D68,"")</f>
        <v/>
      </c>
      <c r="F68" s="25" t="n">
        <f aca="false">IF(AND($A68+(-24)&gt;=1,$A68+(-24)&lt;=$B$8),INDEX($E$12:$E$71,$A68+(-24)),"")</f>
        <v>0.959594537519358</v>
      </c>
      <c r="G68" s="25" t="n">
        <f aca="false">IF(AND($A68+(-12)&gt;=1,$A68+(-12)&lt;=$B$8),INDEX($E$12:$E$71,$A68+(-12)),"")</f>
        <v>0.909864603481625</v>
      </c>
      <c r="H68" s="25" t="str">
        <f aca="false">IF(AND($A68+(0)&gt;=1,$A68+(0)&lt;=$B$8),INDEX($E$12:$E$71,$A68+(0)),"")</f>
        <v/>
      </c>
      <c r="I68" s="25" t="str">
        <f aca="false">IF(AND($A68+(12)&gt;=1,$A68+(12)&lt;=$B$8),INDEX($E$12:$E$71,$A68+(12)),"")</f>
        <v/>
      </c>
      <c r="J68" s="25" t="str">
        <f aca="false">IF(AND($A68+(24)&gt;=1,$A68+(24)&lt;=$B$8),INDEX($E$12:$E$71,$A68+(24)),"")</f>
        <v/>
      </c>
      <c r="K68" s="25" t="n">
        <f aca="false">IF(SUMPRODUCT(Bobot_Filter!$B$38:$F$38,ISNUMBER(F68:J68)*1)&gt;0,SUMPRODUCT(Bobot_Filter!$B$38:$F$38,F68:J68)/SUMPRODUCT(Bobot_Filter!$B$38:$F$38,ISNUMBER(F68:J68)*1),"")</f>
        <v>0.926441248160869</v>
      </c>
      <c r="L68" s="25" t="str">
        <f aca="false">IF(AND($A68&gt;=$B$6,$A68&lt;=$B$7),SUMPRODUCT(Bobot_Filter!$B$4:$B$16,K62:K74),"")</f>
        <v/>
      </c>
      <c r="M68" s="25" t="n">
        <f aca="false">K68/INDEX($L$12:$L$71,MAX($B$6,MIN($A68,$B$7)))</f>
        <v>0.924203529672188</v>
      </c>
      <c r="N68" s="27" t="n">
        <f aca="false">C68/M68</f>
        <v>363.556283018285</v>
      </c>
      <c r="O68" s="27" t="str">
        <f aca="false">IF(AND($A68&gt;=$B$6,$A68&lt;=$B$7),SUMPRODUCT(Bobot_Filter!$B$20:$B$32,N62:N74),"")</f>
        <v/>
      </c>
      <c r="P68" s="25" t="str">
        <f aca="false">IF(ISNUMBER(O68),C68/O68,"")</f>
        <v/>
      </c>
      <c r="Q68" s="25" t="n">
        <f aca="false">IF(AND($A68+(-36)&gt;=1,$A68+(-36)&lt;=$B$8),INDEX($P$12:$P$71,$A68+(-36)),"")</f>
        <v>0.917764791794422</v>
      </c>
      <c r="R68" s="25" t="n">
        <f aca="false">IF(AND($A68+(-24)&gt;=1,$A68+(-24)&lt;=$B$8),INDEX($P$12:$P$71,$A68+(-24)),"")</f>
        <v>0.93867106849459</v>
      </c>
      <c r="S68" s="25" t="n">
        <f aca="false">IF(AND($A68+(-12)&gt;=1,$A68+(-12)&lt;=$B$8),INDEX($P$12:$P$71,$A68+(-12)),"")</f>
        <v>0.919423367006354</v>
      </c>
      <c r="T68" s="25" t="str">
        <f aca="false">IF(AND($A68+(0)&gt;=1,$A68+(0)&lt;=$B$8),INDEX($P$12:$P$71,$A68+(0)),"")</f>
        <v/>
      </c>
      <c r="U68" s="25" t="str">
        <f aca="false">IF(AND($A68+(12)&gt;=1,$A68+(12)&lt;=$B$8),INDEX($P$12:$P$71,$A68+(12)),"")</f>
        <v/>
      </c>
      <c r="V68" s="25" t="str">
        <f aca="false">IF(AND($A68+(24)&gt;=1,$A68+(24)&lt;=$B$8),INDEX($P$12:$P$71,$A68+(24)),"")</f>
        <v/>
      </c>
      <c r="W68" s="25" t="str">
        <f aca="false">IF(AND($A68+(36)&gt;=1,$A68+(36)&lt;=$B$8),INDEX($P$12:$P$71,$A68+(36)),"")</f>
        <v/>
      </c>
      <c r="X68" s="25" t="n">
        <f aca="false">IF(SUMPRODUCT(Bobot_Filter!$B$43:$H$43,ISNUMBER(Q68:W68)*1)&gt;0,SUMPRODUCT(Bobot_Filter!$B$43:$H$43,Q68:W68)/SUMPRODUCT(Bobot_Filter!$B$43:$H$43,ISNUMBER(Q68:W68)*1),"")</f>
        <v>0.925562838300444</v>
      </c>
      <c r="Y68" s="25" t="str">
        <f aca="false">IF(AND($A68&gt;=$B$6,$A68&lt;=$B$7),SUMPRODUCT(Bobot_Filter!$B$4:$B$16,X62:X74),"")</f>
        <v/>
      </c>
      <c r="Z68" s="33" t="n">
        <f aca="false">X68/INDEX($Y$12:$Y$71,MAX($B$6,MIN($A68,$B$7)))</f>
        <v>0.925801639965058</v>
      </c>
      <c r="AA68" s="27" t="n">
        <f aca="false">C68/Z68</f>
        <v>362.928715499663</v>
      </c>
      <c r="AB68" s="27" t="str">
        <f aca="false">IF(AND($A68&gt;=$B$6,$A68&lt;=$B$7),SUMPRODUCT(Bobot_Filter!$B$20:$B$32,AA62:AA74),"")</f>
        <v/>
      </c>
      <c r="AC68" s="25" t="str">
        <f aca="false">IF(ISNUMBER(AB68),AA68/AB68,"")</f>
        <v/>
      </c>
      <c r="AD68" s="27" t="n">
        <f aca="false">$B$4+$B$3*A68</f>
        <v>337.783716444286</v>
      </c>
      <c r="AE68" s="27" t="n">
        <f aca="false">AD68*Z68</f>
        <v>312.720718637612</v>
      </c>
      <c r="AF68" s="28" t="n">
        <f aca="false">ABS(C68-AE68)/C68</f>
        <v>0.0692835754832982</v>
      </c>
    </row>
    <row r="69" customFormat="false" ht="15" hidden="false" customHeight="false" outlineLevel="0" collapsed="false">
      <c r="A69" s="8" t="n">
        <v>58</v>
      </c>
      <c r="B69" s="22" t="n">
        <f aca="false">Data!B62</f>
        <v>46082</v>
      </c>
      <c r="C69" s="23" t="n">
        <f aca="false">Data!D62</f>
        <v>405</v>
      </c>
      <c r="D69" s="27" t="str">
        <f aca="false">IF(AND($A69&gt;=$B$6,$A69&lt;=$B$7),SUMPRODUCT(Bobot_Filter!$B$4:$B$16,C63:C75),"")</f>
        <v/>
      </c>
      <c r="E69" s="25" t="str">
        <f aca="false">IF(ISNUMBER(D69),C69/D69,"")</f>
        <v/>
      </c>
      <c r="F69" s="25" t="n">
        <f aca="false">IF(AND($A69+(-24)&gt;=1,$A69+(-24)&lt;=$B$8),INDEX($E$12:$E$71,$A69+(-24)),"")</f>
        <v>1.20352990614932</v>
      </c>
      <c r="G69" s="25" t="n">
        <f aca="false">IF(AND($A69+(-12)&gt;=1,$A69+(-12)&lt;=$B$8),INDEX($E$12:$E$71,$A69+(-12)),"")</f>
        <v>1.24015899474292</v>
      </c>
      <c r="H69" s="25" t="str">
        <f aca="false">IF(AND($A69+(0)&gt;=1,$A69+(0)&lt;=$B$8),INDEX($E$12:$E$71,$A69+(0)),"")</f>
        <v/>
      </c>
      <c r="I69" s="25" t="str">
        <f aca="false">IF(AND($A69+(12)&gt;=1,$A69+(12)&lt;=$B$8),INDEX($E$12:$E$71,$A69+(12)),"")</f>
        <v/>
      </c>
      <c r="J69" s="25" t="str">
        <f aca="false">IF(AND($A69+(24)&gt;=1,$A69+(24)&lt;=$B$8),INDEX($E$12:$E$71,$A69+(24)),"")</f>
        <v/>
      </c>
      <c r="K69" s="25" t="n">
        <f aca="false">IF(SUMPRODUCT(Bobot_Filter!$B$38:$F$38,ISNUMBER(F69:J69)*1)&gt;0,SUMPRODUCT(Bobot_Filter!$B$38:$F$38,F69:J69)/SUMPRODUCT(Bobot_Filter!$B$38:$F$38,ISNUMBER(F69:J69)*1),"")</f>
        <v>1.22794929854505</v>
      </c>
      <c r="L69" s="25" t="str">
        <f aca="false">IF(AND($A69&gt;=$B$6,$A69&lt;=$B$7),SUMPRODUCT(Bobot_Filter!$B$4:$B$16,K63:K75),"")</f>
        <v/>
      </c>
      <c r="M69" s="25" t="n">
        <f aca="false">K69/INDEX($L$12:$L$71,MAX($B$6,MIN($A69,$B$7)))</f>
        <v>1.22498332001811</v>
      </c>
      <c r="N69" s="27" t="n">
        <f aca="false">C69/M69</f>
        <v>330.616746678651</v>
      </c>
      <c r="O69" s="27" t="str">
        <f aca="false">IF(AND($A69&gt;=$B$6,$A69&lt;=$B$7),SUMPRODUCT(Bobot_Filter!$B$20:$B$32,N63:N75),"")</f>
        <v/>
      </c>
      <c r="P69" s="25" t="str">
        <f aca="false">IF(ISNUMBER(O69),C69/O69,"")</f>
        <v/>
      </c>
      <c r="Q69" s="25" t="n">
        <f aca="false">IF(AND($A69+(-36)&gt;=1,$A69+(-36)&lt;=$B$8),INDEX($P$12:$P$71,$A69+(-36)),"")</f>
        <v>1.06656568756271</v>
      </c>
      <c r="R69" s="25" t="n">
        <f aca="false">IF(AND($A69+(-24)&gt;=1,$A69+(-24)&lt;=$B$8),INDEX($P$12:$P$71,$A69+(-24)),"")</f>
        <v>1.18899539679348</v>
      </c>
      <c r="S69" s="25" t="n">
        <f aca="false">IF(AND($A69+(-12)&gt;=1,$A69+(-12)&lt;=$B$8),INDEX($P$12:$P$71,$A69+(-12)),"")</f>
        <v>1.2466261354919</v>
      </c>
      <c r="T69" s="25" t="str">
        <f aca="false">IF(AND($A69+(0)&gt;=1,$A69+(0)&lt;=$B$8),INDEX($P$12:$P$71,$A69+(0)),"")</f>
        <v/>
      </c>
      <c r="U69" s="25" t="str">
        <f aca="false">IF(AND($A69+(12)&gt;=1,$A69+(12)&lt;=$B$8),INDEX($P$12:$P$71,$A69+(12)),"")</f>
        <v/>
      </c>
      <c r="V69" s="25" t="str">
        <f aca="false">IF(AND($A69+(24)&gt;=1,$A69+(24)&lt;=$B$8),INDEX($P$12:$P$71,$A69+(24)),"")</f>
        <v/>
      </c>
      <c r="W69" s="25" t="str">
        <f aca="false">IF(AND($A69+(36)&gt;=1,$A69+(36)&lt;=$B$8),INDEX($P$12:$P$71,$A69+(36)),"")</f>
        <v/>
      </c>
      <c r="X69" s="25" t="n">
        <f aca="false">IF(SUMPRODUCT(Bobot_Filter!$B$43:$H$43,ISNUMBER(Q69:W69)*1)&gt;0,SUMPRODUCT(Bobot_Filter!$B$43:$H$43,Q69:W69)/SUMPRODUCT(Bobot_Filter!$B$43:$H$43,ISNUMBER(Q69:W69)*1),"")</f>
        <v>1.19740581460423</v>
      </c>
      <c r="Y69" s="25" t="str">
        <f aca="false">IF(AND($A69&gt;=$B$6,$A69&lt;=$B$7),SUMPRODUCT(Bobot_Filter!$B$4:$B$16,X63:X75),"")</f>
        <v/>
      </c>
      <c r="Z69" s="33" t="n">
        <f aca="false">X69/INDEX($Y$12:$Y$71,MAX($B$6,MIN($A69,$B$7)))</f>
        <v>1.19771475365182</v>
      </c>
      <c r="AA69" s="27" t="n">
        <f aca="false">C69/Z69</f>
        <v>338.143951859289</v>
      </c>
      <c r="AB69" s="27" t="str">
        <f aca="false">IF(AND($A69&gt;=$B$6,$A69&lt;=$B$7),SUMPRODUCT(Bobot_Filter!$B$20:$B$32,AA63:AA75),"")</f>
        <v/>
      </c>
      <c r="AC69" s="25" t="str">
        <f aca="false">IF(ISNUMBER(AB69),AA69/AB69,"")</f>
        <v/>
      </c>
      <c r="AD69" s="27" t="n">
        <f aca="false">$B$4+$B$3*A69</f>
        <v>339.332786063161</v>
      </c>
      <c r="AE69" s="27" t="n">
        <f aca="false">AD69*Z69</f>
        <v>406.423884265623</v>
      </c>
      <c r="AF69" s="28" t="n">
        <f aca="false">ABS(C69-AE69)/C69</f>
        <v>0.00351576361882132</v>
      </c>
    </row>
    <row r="70" customFormat="false" ht="15" hidden="false" customHeight="false" outlineLevel="0" collapsed="false">
      <c r="A70" s="8" t="n">
        <v>59</v>
      </c>
      <c r="B70" s="22" t="n">
        <f aca="false">Data!B63</f>
        <v>46113</v>
      </c>
      <c r="C70" s="23" t="n">
        <f aca="false">Data!D63</f>
        <v>322</v>
      </c>
      <c r="D70" s="27" t="str">
        <f aca="false">IF(AND($A70&gt;=$B$6,$A70&lt;=$B$7),SUMPRODUCT(Bobot_Filter!$B$4:$B$16,C64:C76),"")</f>
        <v/>
      </c>
      <c r="E70" s="25" t="str">
        <f aca="false">IF(ISNUMBER(D70),C70/D70,"")</f>
        <v/>
      </c>
      <c r="F70" s="25" t="n">
        <f aca="false">IF(AND($A70+(-24)&gt;=1,$A70+(-24)&lt;=$B$8),INDEX($E$12:$E$71,$A70+(-24)),"")</f>
        <v>1.07327946503204</v>
      </c>
      <c r="G70" s="25" t="n">
        <f aca="false">IF(AND($A70+(-12)&gt;=1,$A70+(-12)&lt;=$B$8),INDEX($E$12:$E$71,$A70+(-12)),"")</f>
        <v>1.08434660181748</v>
      </c>
      <c r="H70" s="25" t="str">
        <f aca="false">IF(AND($A70+(0)&gt;=1,$A70+(0)&lt;=$B$8),INDEX($E$12:$E$71,$A70+(0)),"")</f>
        <v/>
      </c>
      <c r="I70" s="25" t="str">
        <f aca="false">IF(AND($A70+(12)&gt;=1,$A70+(12)&lt;=$B$8),INDEX($E$12:$E$71,$A70+(12)),"")</f>
        <v/>
      </c>
      <c r="J70" s="25" t="str">
        <f aca="false">IF(AND($A70+(24)&gt;=1,$A70+(24)&lt;=$B$8),INDEX($E$12:$E$71,$A70+(24)),"")</f>
        <v/>
      </c>
      <c r="K70" s="25" t="n">
        <f aca="false">IF(SUMPRODUCT(Bobot_Filter!$B$38:$F$38,ISNUMBER(F70:J70)*1)&gt;0,SUMPRODUCT(Bobot_Filter!$B$38:$F$38,F70:J70)/SUMPRODUCT(Bobot_Filter!$B$38:$F$38,ISNUMBER(F70:J70)*1),"")</f>
        <v>1.08065755622234</v>
      </c>
      <c r="L70" s="25" t="str">
        <f aca="false">IF(AND($A70&gt;=$B$6,$A70&lt;=$B$7),SUMPRODUCT(Bobot_Filter!$B$4:$B$16,K64:K76),"")</f>
        <v/>
      </c>
      <c r="M70" s="25" t="n">
        <f aca="false">K70/INDEX($L$12:$L$71,MAX($B$6,MIN($A70,$B$7)))</f>
        <v>1.07804734494527</v>
      </c>
      <c r="N70" s="27" t="n">
        <f aca="false">C70/M70</f>
        <v>298.688180542152</v>
      </c>
      <c r="O70" s="27" t="str">
        <f aca="false">IF(AND($A70&gt;=$B$6,$A70&lt;=$B$7),SUMPRODUCT(Bobot_Filter!$B$20:$B$32,N64:N76),"")</f>
        <v/>
      </c>
      <c r="P70" s="25" t="str">
        <f aca="false">IF(ISNUMBER(O70),C70/O70,"")</f>
        <v/>
      </c>
      <c r="Q70" s="25" t="n">
        <f aca="false">IF(AND($A70+(-36)&gt;=1,$A70+(-36)&lt;=$B$8),INDEX($P$12:$P$71,$A70+(-36)),"")</f>
        <v>1.25048286149846</v>
      </c>
      <c r="R70" s="25" t="n">
        <f aca="false">IF(AND($A70+(-24)&gt;=1,$A70+(-24)&lt;=$B$8),INDEX($P$12:$P$71,$A70+(-24)),"")</f>
        <v>1.077578363339</v>
      </c>
      <c r="S70" s="25" t="n">
        <f aca="false">IF(AND($A70+(-12)&gt;=1,$A70+(-12)&lt;=$B$8),INDEX($P$12:$P$71,$A70+(-12)),"")</f>
        <v>1.07812457738207</v>
      </c>
      <c r="T70" s="25" t="str">
        <f aca="false">IF(AND($A70+(0)&gt;=1,$A70+(0)&lt;=$B$8),INDEX($P$12:$P$71,$A70+(0)),"")</f>
        <v/>
      </c>
      <c r="U70" s="25" t="str">
        <f aca="false">IF(AND($A70+(12)&gt;=1,$A70+(12)&lt;=$B$8),INDEX($P$12:$P$71,$A70+(12)),"")</f>
        <v/>
      </c>
      <c r="V70" s="25" t="str">
        <f aca="false">IF(AND($A70+(24)&gt;=1,$A70+(24)&lt;=$B$8),INDEX($P$12:$P$71,$A70+(24)),"")</f>
        <v/>
      </c>
      <c r="W70" s="25" t="str">
        <f aca="false">IF(AND($A70+(36)&gt;=1,$A70+(36)&lt;=$B$8),INDEX($P$12:$P$71,$A70+(36)),"")</f>
        <v/>
      </c>
      <c r="X70" s="25" t="n">
        <f aca="false">IF(SUMPRODUCT(Bobot_Filter!$B$43:$H$43,ISNUMBER(Q70:W70)*1)&gt;0,SUMPRODUCT(Bobot_Filter!$B$43:$H$43,Q70:W70)/SUMPRODUCT(Bobot_Filter!$B$43:$H$43,ISNUMBER(Q70:W70)*1),"")</f>
        <v>1.10666888672044</v>
      </c>
      <c r="Y70" s="25" t="str">
        <f aca="false">IF(AND($A70&gt;=$B$6,$A70&lt;=$B$7),SUMPRODUCT(Bobot_Filter!$B$4:$B$16,X64:X76),"")</f>
        <v/>
      </c>
      <c r="Z70" s="33" t="n">
        <f aca="false">X70/INDEX($Y$12:$Y$71,MAX($B$6,MIN($A70,$B$7)))</f>
        <v>1.10695441500809</v>
      </c>
      <c r="AA70" s="27" t="n">
        <f aca="false">C70/Z70</f>
        <v>290.888220539459</v>
      </c>
      <c r="AB70" s="27" t="str">
        <f aca="false">IF(AND($A70&gt;=$B$6,$A70&lt;=$B$7),SUMPRODUCT(Bobot_Filter!$B$20:$B$32,AA64:AA76),"")</f>
        <v/>
      </c>
      <c r="AC70" s="25" t="str">
        <f aca="false">IF(ISNUMBER(AB70),AA70/AB70,"")</f>
        <v/>
      </c>
      <c r="AD70" s="27" t="n">
        <f aca="false">$B$4+$B$3*A70</f>
        <v>340.881855682036</v>
      </c>
      <c r="AE70" s="27" t="n">
        <f aca="false">AD70*Z70</f>
        <v>377.340675143379</v>
      </c>
      <c r="AF70" s="28" t="n">
        <f aca="false">ABS(C70-AE70)/C70</f>
        <v>0.171865450755836</v>
      </c>
    </row>
    <row r="71" customFormat="false" ht="15" hidden="false" customHeight="false" outlineLevel="0" collapsed="false">
      <c r="A71" s="8" t="n">
        <v>60</v>
      </c>
      <c r="B71" s="22" t="n">
        <f aca="false">Data!B64</f>
        <v>46143</v>
      </c>
      <c r="C71" s="23" t="n">
        <f aca="false">Data!D64</f>
        <v>295</v>
      </c>
      <c r="D71" s="27" t="str">
        <f aca="false">IF(AND($A71&gt;=$B$6,$A71&lt;=$B$7),SUMPRODUCT(Bobot_Filter!$B$4:$B$16,C65:C77),"")</f>
        <v/>
      </c>
      <c r="E71" s="25" t="str">
        <f aca="false">IF(ISNUMBER(D71),C71/D71,"")</f>
        <v/>
      </c>
      <c r="F71" s="25" t="n">
        <f aca="false">IF(AND($A71+(-24)&gt;=1,$A71+(-24)&lt;=$B$8),INDEX($E$12:$E$71,$A71+(-24)),"")</f>
        <v>0.948419301164726</v>
      </c>
      <c r="G71" s="25" t="n">
        <f aca="false">IF(AND($A71+(-12)&gt;=1,$A71+(-12)&lt;=$B$8),INDEX($E$12:$E$71,$A71+(-12)),"")</f>
        <v>0.849828047382499</v>
      </c>
      <c r="H71" s="25" t="str">
        <f aca="false">IF(AND($A71+(0)&gt;=1,$A71+(0)&lt;=$B$8),INDEX($E$12:$E$71,$A71+(0)),"")</f>
        <v/>
      </c>
      <c r="I71" s="25" t="str">
        <f aca="false">IF(AND($A71+(12)&gt;=1,$A71+(12)&lt;=$B$8),INDEX($E$12:$E$71,$A71+(12)),"")</f>
        <v/>
      </c>
      <c r="J71" s="25" t="str">
        <f aca="false">IF(AND($A71+(24)&gt;=1,$A71+(24)&lt;=$B$8),INDEX($E$12:$E$71,$A71+(24)),"")</f>
        <v/>
      </c>
      <c r="K71" s="25" t="n">
        <f aca="false">IF(SUMPRODUCT(Bobot_Filter!$B$38:$F$38,ISNUMBER(F71:J71)*1)&gt;0,SUMPRODUCT(Bobot_Filter!$B$38:$F$38,F71:J71)/SUMPRODUCT(Bobot_Filter!$B$38:$F$38,ISNUMBER(F71:J71)*1),"")</f>
        <v>0.882691798643241</v>
      </c>
      <c r="L71" s="25" t="str">
        <f aca="false">IF(AND($A71&gt;=$B$6,$A71&lt;=$B$7),SUMPRODUCT(Bobot_Filter!$B$4:$B$16,K65:K77),"")</f>
        <v/>
      </c>
      <c r="M71" s="25" t="n">
        <f aca="false">K71/INDEX($L$12:$L$71,MAX($B$6,MIN($A71,$B$7)))</f>
        <v>0.880559752211206</v>
      </c>
      <c r="N71" s="27" t="n">
        <f aca="false">C71/M71</f>
        <v>335.01417622054</v>
      </c>
      <c r="O71" s="27" t="str">
        <f aca="false">IF(AND($A71&gt;=$B$6,$A71&lt;=$B$7),SUMPRODUCT(Bobot_Filter!$B$20:$B$32,N65:N77),"")</f>
        <v/>
      </c>
      <c r="P71" s="25" t="str">
        <f aca="false">IF(ISNUMBER(O71),C71/O71,"")</f>
        <v/>
      </c>
      <c r="Q71" s="25" t="n">
        <f aca="false">IF(AND($A71+(-36)&gt;=1,$A71+(-36)&lt;=$B$8),INDEX($P$12:$P$71,$A71+(-36)),"")</f>
        <v>0.914764667593264</v>
      </c>
      <c r="R71" s="25" t="n">
        <f aca="false">IF(AND($A71+(-24)&gt;=1,$A71+(-24)&lt;=$B$8),INDEX($P$12:$P$71,$A71+(-24)),"")</f>
        <v>0.966555176224561</v>
      </c>
      <c r="S71" s="25" t="n">
        <f aca="false">IF(AND($A71+(-12)&gt;=1,$A71+(-12)&lt;=$B$8),INDEX($P$12:$P$71,$A71+(-12)),"")</f>
        <v>0.839750562477375</v>
      </c>
      <c r="T71" s="25" t="str">
        <f aca="false">IF(AND($A71+(0)&gt;=1,$A71+(0)&lt;=$B$8),INDEX($P$12:$P$71,$A71+(0)),"")</f>
        <v/>
      </c>
      <c r="U71" s="25" t="str">
        <f aca="false">IF(AND($A71+(12)&gt;=1,$A71+(12)&lt;=$B$8),INDEX($P$12:$P$71,$A71+(12)),"")</f>
        <v/>
      </c>
      <c r="V71" s="25" t="str">
        <f aca="false">IF(AND($A71+(24)&gt;=1,$A71+(24)&lt;=$B$8),INDEX($P$12:$P$71,$A71+(24)),"")</f>
        <v/>
      </c>
      <c r="W71" s="25" t="str">
        <f aca="false">IF(AND($A71+(36)&gt;=1,$A71+(36)&lt;=$B$8),INDEX($P$12:$P$71,$A71+(36)),"")</f>
        <v/>
      </c>
      <c r="X71" s="25" t="n">
        <f aca="false">IF(SUMPRODUCT(Bobot_Filter!$B$43:$H$43,ISNUMBER(Q71:W71)*1)&gt;0,SUMPRODUCT(Bobot_Filter!$B$43:$H$43,Q71:W71)/SUMPRODUCT(Bobot_Filter!$B$43:$H$43,ISNUMBER(Q71:W71)*1),"")</f>
        <v>0.894521117912418</v>
      </c>
      <c r="Y71" s="25" t="str">
        <f aca="false">IF(AND($A71&gt;=$B$6,$A71&lt;=$B$7),SUMPRODUCT(Bobot_Filter!$B$4:$B$16,X65:X77),"")</f>
        <v/>
      </c>
      <c r="Z71" s="33" t="n">
        <f aca="false">X71/INDEX($Y$12:$Y$71,MAX($B$6,MIN($A71,$B$7)))</f>
        <v>0.894751910596772</v>
      </c>
      <c r="AA71" s="27" t="n">
        <f aca="false">C71/Z71</f>
        <v>329.700329785542</v>
      </c>
      <c r="AB71" s="27" t="str">
        <f aca="false">IF(AND($A71&gt;=$B$6,$A71&lt;=$B$7),SUMPRODUCT(Bobot_Filter!$B$20:$B$32,AA65:AA77),"")</f>
        <v/>
      </c>
      <c r="AC71" s="25" t="str">
        <f aca="false">IF(ISNUMBER(AB71),AA71/AB71,"")</f>
        <v/>
      </c>
      <c r="AD71" s="27" t="n">
        <f aca="false">$B$4+$B$3*A71</f>
        <v>342.430925300911</v>
      </c>
      <c r="AE71" s="27" t="n">
        <f aca="false">AD71*Z71</f>
        <v>306.390724660411</v>
      </c>
      <c r="AF71" s="28" t="n">
        <f aca="false">ABS(C71-AE71)/C71</f>
        <v>0.0386126259674933</v>
      </c>
    </row>
    <row r="72" customFormat="false" ht="15" hidden="false" customHeight="false" outlineLevel="0" collapsed="false">
      <c r="A72" s="8" t="n">
        <v>61</v>
      </c>
      <c r="B72" s="29" t="n">
        <f aca="false">EDATE(B71,1)</f>
        <v>46174</v>
      </c>
      <c r="Z72" s="33" t="n">
        <f aca="false">Z60</f>
        <v>0.947647586208637</v>
      </c>
      <c r="AD72" s="27" t="n">
        <f aca="false">$B$4+$B$3*A72</f>
        <v>343.979994919786</v>
      </c>
      <c r="AE72" s="30" t="n">
        <f aca="false">AD72*Z72</f>
        <v>325.971811889794</v>
      </c>
    </row>
    <row r="73" customFormat="false" ht="15" hidden="false" customHeight="false" outlineLevel="0" collapsed="false">
      <c r="A73" s="8" t="n">
        <v>62</v>
      </c>
      <c r="B73" s="29" t="n">
        <f aca="false">EDATE(B72,1)</f>
        <v>46204</v>
      </c>
      <c r="Z73" s="33" t="n">
        <f aca="false">Z61</f>
        <v>1.06544866835457</v>
      </c>
      <c r="AD73" s="27" t="n">
        <f aca="false">$B$4+$B$3*A73</f>
        <v>345.529064538661</v>
      </c>
      <c r="AE73" s="30" t="n">
        <f aca="false">AD73*Z73</f>
        <v>368.143481690516</v>
      </c>
    </row>
    <row r="74" customFormat="false" ht="15" hidden="false" customHeight="false" outlineLevel="0" collapsed="false">
      <c r="A74" s="8" t="n">
        <v>63</v>
      </c>
      <c r="B74" s="29" t="n">
        <f aca="false">EDATE(B73,1)</f>
        <v>46235</v>
      </c>
      <c r="Z74" s="33" t="n">
        <f aca="false">Z62</f>
        <v>0.931091873146889</v>
      </c>
      <c r="AD74" s="27" t="n">
        <f aca="false">$B$4+$B$3*A74</f>
        <v>347.078134157536</v>
      </c>
      <c r="AE74" s="30" t="n">
        <f aca="false">AD74*Z74</f>
        <v>323.161630061067</v>
      </c>
    </row>
    <row r="75" customFormat="false" ht="15" hidden="false" customHeight="false" outlineLevel="0" collapsed="false">
      <c r="A75" s="8" t="n">
        <v>64</v>
      </c>
      <c r="B75" s="29" t="n">
        <f aca="false">EDATE(B74,1)</f>
        <v>46266</v>
      </c>
      <c r="Z75" s="33" t="n">
        <f aca="false">Z63</f>
        <v>0.940172101472524</v>
      </c>
      <c r="AD75" s="27" t="n">
        <f aca="false">$B$4+$B$3*A75</f>
        <v>348.627203776411</v>
      </c>
      <c r="AE75" s="30" t="n">
        <f aca="false">AD75*Z75</f>
        <v>327.769570804958</v>
      </c>
    </row>
    <row r="76" customFormat="false" ht="15" hidden="false" customHeight="false" outlineLevel="0" collapsed="false">
      <c r="A76" s="8" t="n">
        <v>65</v>
      </c>
      <c r="B76" s="29" t="n">
        <f aca="false">EDATE(B75,1)</f>
        <v>46296</v>
      </c>
      <c r="Z76" s="33" t="n">
        <f aca="false">Z64</f>
        <v>0.879950419353953</v>
      </c>
      <c r="AD76" s="27" t="n">
        <f aca="false">$B$4+$B$3*A76</f>
        <v>350.176273395286</v>
      </c>
      <c r="AE76" s="30" t="n">
        <f aca="false">AD76*Z76</f>
        <v>308.137758621986</v>
      </c>
    </row>
    <row r="77" customFormat="false" ht="15" hidden="false" customHeight="false" outlineLevel="0" collapsed="false">
      <c r="A77" s="8" t="n">
        <v>66</v>
      </c>
      <c r="B77" s="29" t="n">
        <f aca="false">EDATE(B76,1)</f>
        <v>46327</v>
      </c>
      <c r="Z77" s="33" t="n">
        <f aca="false">Z65</f>
        <v>0.913684981233176</v>
      </c>
      <c r="AD77" s="27" t="n">
        <f aca="false">$B$4+$B$3*A77</f>
        <v>351.725343014161</v>
      </c>
      <c r="AE77" s="30" t="n">
        <f aca="false">AD77*Z77</f>
        <v>321.366163431126</v>
      </c>
    </row>
    <row r="78" customFormat="false" ht="15" hidden="false" customHeight="false" outlineLevel="0" collapsed="false">
      <c r="A78" s="8" t="n">
        <v>67</v>
      </c>
      <c r="B78" s="29" t="n">
        <f aca="false">EDATE(B77,1)</f>
        <v>46357</v>
      </c>
      <c r="Z78" s="33" t="n">
        <f aca="false">Z66</f>
        <v>1.08750129173682</v>
      </c>
      <c r="AD78" s="27" t="n">
        <f aca="false">$B$4+$B$3*A78</f>
        <v>353.274412633036</v>
      </c>
      <c r="AE78" s="30" t="n">
        <f aca="false">AD78*Z78</f>
        <v>384.186380075992</v>
      </c>
    </row>
    <row r="79" customFormat="false" ht="15" hidden="false" customHeight="false" outlineLevel="0" collapsed="false">
      <c r="A79" s="8" t="n">
        <v>68</v>
      </c>
      <c r="B79" s="29" t="n">
        <f aca="false">EDATE(B78,1)</f>
        <v>46388</v>
      </c>
      <c r="Z79" s="33" t="n">
        <f aca="false">Z67</f>
        <v>1.09154173547262</v>
      </c>
      <c r="AD79" s="27" t="n">
        <f aca="false">$B$4+$B$3*A79</f>
        <v>354.823482251911</v>
      </c>
      <c r="AE79" s="30" t="n">
        <f aca="false">AD79*Z79</f>
        <v>387.30463960369</v>
      </c>
    </row>
    <row r="80" customFormat="false" ht="15" hidden="false" customHeight="false" outlineLevel="0" collapsed="false">
      <c r="A80" s="8" t="n">
        <v>69</v>
      </c>
      <c r="B80" s="29" t="n">
        <f aca="false">EDATE(B79,1)</f>
        <v>46419</v>
      </c>
      <c r="Z80" s="33" t="n">
        <f aca="false">Z68</f>
        <v>0.925801639965058</v>
      </c>
      <c r="AD80" s="27" t="n">
        <f aca="false">$B$4+$B$3*A80</f>
        <v>356.372551870786</v>
      </c>
      <c r="AE80" s="30" t="n">
        <f aca="false">AD80*Z80</f>
        <v>329.930292960506</v>
      </c>
    </row>
    <row r="81" customFormat="false" ht="15" hidden="false" customHeight="false" outlineLevel="0" collapsed="false">
      <c r="A81" s="8" t="n">
        <v>70</v>
      </c>
      <c r="B81" s="29" t="n">
        <f aca="false">EDATE(B80,1)</f>
        <v>46447</v>
      </c>
      <c r="Z81" s="33" t="n">
        <f aca="false">Z69</f>
        <v>1.19771475365182</v>
      </c>
      <c r="AD81" s="27" t="n">
        <f aca="false">$B$4+$B$3*A81</f>
        <v>357.921621489661</v>
      </c>
      <c r="AE81" s="30" t="n">
        <f aca="false">AD81*Z81</f>
        <v>428.688006709147</v>
      </c>
    </row>
    <row r="82" customFormat="false" ht="15" hidden="false" customHeight="false" outlineLevel="0" collapsed="false">
      <c r="A82" s="8" t="n">
        <v>71</v>
      </c>
      <c r="B82" s="29" t="n">
        <f aca="false">EDATE(B81,1)</f>
        <v>46478</v>
      </c>
      <c r="Z82" s="33" t="n">
        <f aca="false">Z70</f>
        <v>1.10695441500809</v>
      </c>
      <c r="AD82" s="27" t="n">
        <f aca="false">$B$4+$B$3*A82</f>
        <v>359.470691108536</v>
      </c>
      <c r="AE82" s="30" t="n">
        <f aca="false">AD82*Z82</f>
        <v>397.917668588602</v>
      </c>
    </row>
    <row r="83" customFormat="false" ht="15" hidden="false" customHeight="false" outlineLevel="0" collapsed="false">
      <c r="A83" s="8" t="n">
        <v>72</v>
      </c>
      <c r="B83" s="29" t="n">
        <f aca="false">EDATE(B82,1)</f>
        <v>46508</v>
      </c>
      <c r="Z83" s="33" t="n">
        <f aca="false">Z71</f>
        <v>0.894751910596772</v>
      </c>
      <c r="AD83" s="27" t="n">
        <f aca="false">$B$4+$B$3*A83</f>
        <v>361.019760727411</v>
      </c>
      <c r="AE83" s="30" t="n">
        <f aca="false">AD83*Z83</f>
        <v>323.02312067404</v>
      </c>
    </row>
  </sheetData>
  <mergeCells count="4">
    <mergeCell ref="A10:C10"/>
    <mergeCell ref="D10:O10"/>
    <mergeCell ref="P10:AC10"/>
    <mergeCell ref="AD10:A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2" min="3" style="0" width="11"/>
  </cols>
  <sheetData>
    <row r="1" customFormat="false" ht="16.15" hidden="false" customHeight="false" outlineLevel="0" collapsed="false">
      <c r="A1" s="5" t="s">
        <v>122</v>
      </c>
    </row>
    <row r="3" customFormat="false" ht="15" hidden="false" customHeight="false" outlineLevel="0" collapsed="false">
      <c r="A3" s="12" t="s">
        <v>81</v>
      </c>
      <c r="B3" s="17" t="n">
        <f aca="false">SLOPE(AB18:AB53,A18:A53)</f>
        <v>0.84966756707958</v>
      </c>
      <c r="C3" s="6" t="s">
        <v>82</v>
      </c>
    </row>
    <row r="4" customFormat="false" ht="15" hidden="false" customHeight="false" outlineLevel="0" collapsed="false">
      <c r="A4" s="12" t="s">
        <v>83</v>
      </c>
      <c r="B4" s="17" t="n">
        <f aca="false">INTERCEPT(AB18:AB53,A18:A53)</f>
        <v>225.289900435866</v>
      </c>
      <c r="C4" s="6" t="s">
        <v>84</v>
      </c>
    </row>
    <row r="5" customFormat="false" ht="15" hidden="false" customHeight="false" outlineLevel="0" collapsed="false">
      <c r="A5" s="11" t="s">
        <v>57</v>
      </c>
      <c r="B5" s="19" t="n">
        <f aca="false">AVERAGE(AF60:AF71)</f>
        <v>0.108992481861746</v>
      </c>
      <c r="C5" s="6" t="s">
        <v>85</v>
      </c>
    </row>
    <row r="6" customFormat="false" ht="15" hidden="false" customHeight="false" outlineLevel="0" collapsed="false">
      <c r="A6" s="12" t="s">
        <v>86</v>
      </c>
      <c r="B6" s="15" t="n">
        <v>7</v>
      </c>
      <c r="C6" s="6" t="s">
        <v>87</v>
      </c>
    </row>
    <row r="7" customFormat="false" ht="15" hidden="false" customHeight="false" outlineLevel="0" collapsed="false">
      <c r="A7" s="12" t="s">
        <v>88</v>
      </c>
      <c r="B7" s="31" t="n">
        <f aca="false">B8-6</f>
        <v>42</v>
      </c>
    </row>
    <row r="8" customFormat="false" ht="15" hidden="false" customHeight="false" outlineLevel="0" collapsed="false">
      <c r="A8" s="12" t="s">
        <v>89</v>
      </c>
      <c r="B8" s="15" t="n">
        <v>48</v>
      </c>
    </row>
    <row r="9" customFormat="false" ht="15" hidden="false" customHeight="false" outlineLevel="0" collapsed="false">
      <c r="A9" s="12" t="s">
        <v>58</v>
      </c>
      <c r="B9" s="20" t="n">
        <f aca="false">AVERAGE(AF24:AF59)</f>
        <v>0.0393133649709312</v>
      </c>
    </row>
    <row r="10" customFormat="false" ht="15" hidden="false" customHeight="true" outlineLevel="0" collapsed="false">
      <c r="A10" s="32" t="s">
        <v>90</v>
      </c>
      <c r="B10" s="32"/>
      <c r="C10" s="32"/>
      <c r="D10" s="32" t="s">
        <v>91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 t="s">
        <v>92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 t="s">
        <v>64</v>
      </c>
      <c r="AE10" s="32"/>
      <c r="AF10" s="32"/>
    </row>
    <row r="11" customFormat="false" ht="42" hidden="false" customHeight="true" outlineLevel="0" collapsed="false">
      <c r="A11" s="7" t="s">
        <v>21</v>
      </c>
      <c r="B11" s="7" t="s">
        <v>22</v>
      </c>
      <c r="C11" s="7" t="s">
        <v>93</v>
      </c>
      <c r="D11" s="7" t="s">
        <v>94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7" t="s">
        <v>100</v>
      </c>
      <c r="K11" s="7" t="s">
        <v>101</v>
      </c>
      <c r="L11" s="7" t="s">
        <v>102</v>
      </c>
      <c r="M11" s="7" t="s">
        <v>103</v>
      </c>
      <c r="N11" s="7" t="s">
        <v>104</v>
      </c>
      <c r="O11" s="7" t="s">
        <v>105</v>
      </c>
      <c r="P11" s="7" t="s">
        <v>106</v>
      </c>
      <c r="Q11" s="7" t="s">
        <v>107</v>
      </c>
      <c r="R11" s="7" t="s">
        <v>108</v>
      </c>
      <c r="S11" s="7" t="s">
        <v>109</v>
      </c>
      <c r="T11" s="7" t="s">
        <v>110</v>
      </c>
      <c r="U11" s="7" t="s">
        <v>111</v>
      </c>
      <c r="V11" s="7" t="s">
        <v>112</v>
      </c>
      <c r="W11" s="7" t="s">
        <v>113</v>
      </c>
      <c r="X11" s="7" t="s">
        <v>114</v>
      </c>
      <c r="Y11" s="7" t="s">
        <v>115</v>
      </c>
      <c r="Z11" s="7" t="s">
        <v>116</v>
      </c>
      <c r="AA11" s="7" t="s">
        <v>117</v>
      </c>
      <c r="AB11" s="7" t="s">
        <v>118</v>
      </c>
      <c r="AC11" s="7" t="s">
        <v>119</v>
      </c>
      <c r="AD11" s="7" t="s">
        <v>120</v>
      </c>
      <c r="AE11" s="7" t="s">
        <v>64</v>
      </c>
      <c r="AF11" s="7" t="s">
        <v>65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Data!E5</f>
        <v>221</v>
      </c>
      <c r="D12" s="27" t="str">
        <f aca="false">IF(AND($A12&gt;=$B$6,$A12&lt;=$B$7),SUMPRODUCT(Bobot_Filter!$B$4:$B$16,C6:C18),"")</f>
        <v/>
      </c>
      <c r="E12" s="25" t="str">
        <f aca="false">IF(ISNUMBER(D12),C12/D12,"")</f>
        <v/>
      </c>
      <c r="F12" s="25" t="str">
        <f aca="false">IF(AND($A12+(-24)&gt;=1,$A12+(-24)&lt;=$B$8),INDEX($E$12:$E$59,$A12+(-24)),"")</f>
        <v/>
      </c>
      <c r="G12" s="25" t="str">
        <f aca="false">IF(AND($A12+(-12)&gt;=1,$A12+(-12)&lt;=$B$8),INDEX($E$12:$E$59,$A12+(-12)),"")</f>
        <v/>
      </c>
      <c r="H12" s="25" t="str">
        <f aca="false">IF(AND($A12+(0)&gt;=1,$A12+(0)&lt;=$B$8),INDEX($E$12:$E$59,$A12+(0)),"")</f>
        <v/>
      </c>
      <c r="I12" s="25" t="n">
        <f aca="false">IF(AND($A12+(12)&gt;=1,$A12+(12)&lt;=$B$8),INDEX($E$12:$E$59,$A12+(12)),"")</f>
        <v>0.977841315225161</v>
      </c>
      <c r="J12" s="25" t="n">
        <f aca="false">IF(AND($A12+(24)&gt;=1,$A12+(24)&lt;=$B$8),INDEX($E$12:$E$59,$A12+(24)),"")</f>
        <v>0.927055702917772</v>
      </c>
      <c r="K12" s="25" t="n">
        <f aca="false">IF(SUMPRODUCT(Bobot_Filter!$B$38:$F$38,ISNUMBER(F12:J12)*1)&gt;0,SUMPRODUCT(Bobot_Filter!$B$38:$F$38,F12:J12)/SUMPRODUCT(Bobot_Filter!$B$38:$F$38,ISNUMBER(F12:J12)*1),"")</f>
        <v>0.960912777789365</v>
      </c>
      <c r="L12" s="25" t="str">
        <f aca="false">IF(AND($A12&gt;=$B$6,$A12&lt;=$B$7),SUMPRODUCT(Bobot_Filter!$B$4:$B$16,K6:K18),"")</f>
        <v/>
      </c>
      <c r="M12" s="25" t="n">
        <f aca="false">K12/INDEX($L$12:$L$59,MAX($B$6,MIN($A12,$B$7)))</f>
        <v>0.964617346013421</v>
      </c>
      <c r="N12" s="27" t="n">
        <f aca="false">C12/M12</f>
        <v>229.106392201375</v>
      </c>
      <c r="O12" s="27" t="str">
        <f aca="false">IF(AND($A12&gt;=$B$6,$A12&lt;=$B$7),SUMPRODUCT(Bobot_Filter!$B$20:$B$32,N6:N18),"")</f>
        <v/>
      </c>
      <c r="P12" s="25" t="str">
        <f aca="false">IF(ISNUMBER(O12),C12/O12,"")</f>
        <v/>
      </c>
      <c r="Q12" s="25" t="str">
        <f aca="false">IF(AND($A12+(-36)&gt;=1,$A12+(-36)&lt;=$B$8),INDEX($P$12:$P$59,$A12+(-36)),"")</f>
        <v/>
      </c>
      <c r="R12" s="25" t="str">
        <f aca="false">IF(AND($A12+(-24)&gt;=1,$A12+(-24)&lt;=$B$8),INDEX($P$12:$P$59,$A12+(-24)),"")</f>
        <v/>
      </c>
      <c r="S12" s="25" t="str">
        <f aca="false">IF(AND($A12+(-12)&gt;=1,$A12+(-12)&lt;=$B$8),INDEX($P$12:$P$59,$A12+(-12)),"")</f>
        <v/>
      </c>
      <c r="T12" s="25" t="str">
        <f aca="false">IF(AND($A12+(0)&gt;=1,$A12+(0)&lt;=$B$8),INDEX($P$12:$P$59,$A12+(0)),"")</f>
        <v/>
      </c>
      <c r="U12" s="25" t="n">
        <f aca="false">IF(AND($A12+(12)&gt;=1,$A12+(12)&lt;=$B$8),INDEX($P$12:$P$59,$A12+(12)),"")</f>
        <v>0.961423569461243</v>
      </c>
      <c r="V12" s="25" t="n">
        <f aca="false">IF(AND($A12+(24)&gt;=1,$A12+(24)&lt;=$B$8),INDEX($P$12:$P$59,$A12+(24)),"")</f>
        <v>0.933477695156803</v>
      </c>
      <c r="W12" s="25" t="n">
        <f aca="false">IF(AND($A12+(36)&gt;=1,$A12+(36)&lt;=$B$8),INDEX($P$12:$P$59,$A12+(36)),"")</f>
        <v>0.934456457344108</v>
      </c>
      <c r="X12" s="25" t="n">
        <f aca="false">IF(SUMPRODUCT(Bobot_Filter!$B$43:$H$43,ISNUMBER(Q12:W12)*1)&gt;0,SUMPRODUCT(Bobot_Filter!$B$43:$H$43,Q12:W12)/SUMPRODUCT(Bobot_Filter!$B$43:$H$43,ISNUMBER(Q12:W12)*1),"")</f>
        <v>0.94761375934024</v>
      </c>
      <c r="Y12" s="25" t="str">
        <f aca="false">IF(AND($A12&gt;=$B$6,$A12&lt;=$B$7),SUMPRODUCT(Bobot_Filter!$B$4:$B$16,X6:X18),"")</f>
        <v/>
      </c>
      <c r="Z12" s="33" t="n">
        <f aca="false">X12/INDEX($Y$12:$Y$59,MAX($B$6,MIN($A12,$B$7)))</f>
        <v>0.948719759820579</v>
      </c>
      <c r="AA12" s="27" t="n">
        <f aca="false">C12/Z12</f>
        <v>232.945501252968</v>
      </c>
      <c r="AB12" s="27" t="str">
        <f aca="false">IF(AND($A12&gt;=$B$6,$A12&lt;=$B$7),SUMPRODUCT(Bobot_Filter!$B$20:$B$32,AA6:AA18),"")</f>
        <v/>
      </c>
      <c r="AC12" s="25" t="str">
        <f aca="false">IF(ISNUMBER(AB12),AA12/AB12,"")</f>
        <v/>
      </c>
      <c r="AD12" s="27" t="n">
        <f aca="false">$B$4+$B$3*A12</f>
        <v>226.139568002946</v>
      </c>
      <c r="AE12" s="27" t="n">
        <f aca="false">AD12*Z12</f>
        <v>214.543076641684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Data!E6</f>
        <v>238</v>
      </c>
      <c r="D13" s="27" t="str">
        <f aca="false">IF(AND($A13&gt;=$B$6,$A13&lt;=$B$7),SUMPRODUCT(Bobot_Filter!$B$4:$B$16,C7:C19),"")</f>
        <v/>
      </c>
      <c r="E13" s="25" t="str">
        <f aca="false">IF(ISNUMBER(D13),C13/D13,"")</f>
        <v/>
      </c>
      <c r="F13" s="25" t="str">
        <f aca="false">IF(AND($A13+(-24)&gt;=1,$A13+(-24)&lt;=$B$8),INDEX($E$12:$E$59,$A13+(-24)),"")</f>
        <v/>
      </c>
      <c r="G13" s="25" t="str">
        <f aca="false">IF(AND($A13+(-12)&gt;=1,$A13+(-12)&lt;=$B$8),INDEX($E$12:$E$59,$A13+(-12)),"")</f>
        <v/>
      </c>
      <c r="H13" s="25" t="str">
        <f aca="false">IF(AND($A13+(0)&gt;=1,$A13+(0)&lt;=$B$8),INDEX($E$12:$E$59,$A13+(0)),"")</f>
        <v/>
      </c>
      <c r="I13" s="25" t="n">
        <f aca="false">IF(AND($A13+(12)&gt;=1,$A13+(12)&lt;=$B$8),INDEX($E$12:$E$59,$A13+(12)),"")</f>
        <v>1.04700854700855</v>
      </c>
      <c r="J13" s="25" t="n">
        <f aca="false">IF(AND($A13+(24)&gt;=1,$A13+(24)&lt;=$B$8),INDEX($E$12:$E$59,$A13+(24)),"")</f>
        <v>1.05450941526264</v>
      </c>
      <c r="K13" s="25" t="n">
        <f aca="false">IF(SUMPRODUCT(Bobot_Filter!$B$38:$F$38,ISNUMBER(F13:J13)*1)&gt;0,SUMPRODUCT(Bobot_Filter!$B$38:$F$38,F13:J13)/SUMPRODUCT(Bobot_Filter!$B$38:$F$38,ISNUMBER(F13:J13)*1),"")</f>
        <v>1.04950883642658</v>
      </c>
      <c r="L13" s="25" t="str">
        <f aca="false">IF(AND($A13&gt;=$B$6,$A13&lt;=$B$7),SUMPRODUCT(Bobot_Filter!$B$4:$B$16,K7:K19),"")</f>
        <v/>
      </c>
      <c r="M13" s="25" t="n">
        <f aca="false">K13/INDEX($L$12:$L$59,MAX($B$6,MIN($A13,$B$7)))</f>
        <v>1.05355496545739</v>
      </c>
      <c r="N13" s="27" t="n">
        <f aca="false">C13/M13</f>
        <v>225.901835028298</v>
      </c>
      <c r="O13" s="27" t="str">
        <f aca="false">IF(AND($A13&gt;=$B$6,$A13&lt;=$B$7),SUMPRODUCT(Bobot_Filter!$B$20:$B$32,N7:N19),"")</f>
        <v/>
      </c>
      <c r="P13" s="25" t="str">
        <f aca="false">IF(ISNUMBER(O13),C13/O13,"")</f>
        <v/>
      </c>
      <c r="Q13" s="25" t="str">
        <f aca="false">IF(AND($A13+(-36)&gt;=1,$A13+(-36)&lt;=$B$8),INDEX($P$12:$P$59,$A13+(-36)),"")</f>
        <v/>
      </c>
      <c r="R13" s="25" t="str">
        <f aca="false">IF(AND($A13+(-24)&gt;=1,$A13+(-24)&lt;=$B$8),INDEX($P$12:$P$59,$A13+(-24)),"")</f>
        <v/>
      </c>
      <c r="S13" s="25" t="str">
        <f aca="false">IF(AND($A13+(-12)&gt;=1,$A13+(-12)&lt;=$B$8),INDEX($P$12:$P$59,$A13+(-12)),"")</f>
        <v/>
      </c>
      <c r="T13" s="25" t="str">
        <f aca="false">IF(AND($A13+(0)&gt;=1,$A13+(0)&lt;=$B$8),INDEX($P$12:$P$59,$A13+(0)),"")</f>
        <v/>
      </c>
      <c r="U13" s="25" t="n">
        <f aca="false">IF(AND($A13+(12)&gt;=1,$A13+(12)&lt;=$B$8),INDEX($P$12:$P$59,$A13+(12)),"")</f>
        <v>1.02906931417317</v>
      </c>
      <c r="V13" s="25" t="n">
        <f aca="false">IF(AND($A13+(24)&gt;=1,$A13+(24)&lt;=$B$8),INDEX($P$12:$P$59,$A13+(24)),"")</f>
        <v>1.05297879733018</v>
      </c>
      <c r="W13" s="25" t="n">
        <f aca="false">IF(AND($A13+(36)&gt;=1,$A13+(36)&lt;=$B$8),INDEX($P$12:$P$59,$A13+(36)),"")</f>
        <v>1.03597019238583</v>
      </c>
      <c r="X13" s="25" t="n">
        <f aca="false">IF(SUMPRODUCT(Bobot_Filter!$B$43:$H$43,ISNUMBER(Q13:W13)*1)&gt;0,SUMPRODUCT(Bobot_Filter!$B$43:$H$43,Q13:W13)/SUMPRODUCT(Bobot_Filter!$B$43:$H$43,ISNUMBER(Q13:W13)*1),"")</f>
        <v>1.03818928826095</v>
      </c>
      <c r="Y13" s="25" t="str">
        <f aca="false">IF(AND($A13&gt;=$B$6,$A13&lt;=$B$7),SUMPRODUCT(Bobot_Filter!$B$4:$B$16,X7:X19),"")</f>
        <v/>
      </c>
      <c r="Z13" s="33" t="n">
        <f aca="false">X13/INDEX($Y$12:$Y$59,MAX($B$6,MIN($A13,$B$7)))</f>
        <v>1.03940100330854</v>
      </c>
      <c r="AA13" s="27" t="n">
        <f aca="false">C13/Z13</f>
        <v>228.9780356594</v>
      </c>
      <c r="AB13" s="27" t="str">
        <f aca="false">IF(AND($A13&gt;=$B$6,$A13&lt;=$B$7),SUMPRODUCT(Bobot_Filter!$B$20:$B$32,AA7:AA19),"")</f>
        <v/>
      </c>
      <c r="AC13" s="25" t="str">
        <f aca="false">IF(ISNUMBER(AB13),AA13/AB13,"")</f>
        <v/>
      </c>
      <c r="AD13" s="27" t="n">
        <f aca="false">$B$4+$B$3*A13</f>
        <v>226.989235570026</v>
      </c>
      <c r="AE13" s="27" t="n">
        <f aca="false">AD13*Z13</f>
        <v>235.932839191724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Data!E7</f>
        <v>222</v>
      </c>
      <c r="D14" s="27" t="str">
        <f aca="false">IF(AND($A14&gt;=$B$6,$A14&lt;=$B$7),SUMPRODUCT(Bobot_Filter!$B$4:$B$16,C8:C20),"")</f>
        <v/>
      </c>
      <c r="E14" s="25" t="str">
        <f aca="false">IF(ISNUMBER(D14),C14/D14,"")</f>
        <v/>
      </c>
      <c r="F14" s="25" t="str">
        <f aca="false">IF(AND($A14+(-24)&gt;=1,$A14+(-24)&lt;=$B$8),INDEX($E$12:$E$59,$A14+(-24)),"")</f>
        <v/>
      </c>
      <c r="G14" s="25" t="str">
        <f aca="false">IF(AND($A14+(-12)&gt;=1,$A14+(-12)&lt;=$B$8),INDEX($E$12:$E$59,$A14+(-12)),"")</f>
        <v/>
      </c>
      <c r="H14" s="25" t="str">
        <f aca="false">IF(AND($A14+(0)&gt;=1,$A14+(0)&lt;=$B$8),INDEX($E$12:$E$59,$A14+(0)),"")</f>
        <v/>
      </c>
      <c r="I14" s="25" t="n">
        <f aca="false">IF(AND($A14+(12)&gt;=1,$A14+(12)&lt;=$B$8),INDEX($E$12:$E$59,$A14+(12)),"")</f>
        <v>0.94208766062313</v>
      </c>
      <c r="J14" s="25" t="n">
        <f aca="false">IF(AND($A14+(24)&gt;=1,$A14+(24)&lt;=$B$8),INDEX($E$12:$E$59,$A14+(24)),"")</f>
        <v>0.89064039408867</v>
      </c>
      <c r="K14" s="25" t="n">
        <f aca="false">IF(SUMPRODUCT(Bobot_Filter!$B$38:$F$38,ISNUMBER(F14:J14)*1)&gt;0,SUMPRODUCT(Bobot_Filter!$B$38:$F$38,F14:J14)/SUMPRODUCT(Bobot_Filter!$B$38:$F$38,ISNUMBER(F14:J14)*1),"")</f>
        <v>0.92493857177831</v>
      </c>
      <c r="L14" s="25" t="str">
        <f aca="false">IF(AND($A14&gt;=$B$6,$A14&lt;=$B$7),SUMPRODUCT(Bobot_Filter!$B$4:$B$16,K8:K20),"")</f>
        <v/>
      </c>
      <c r="M14" s="25" t="n">
        <f aca="false">K14/INDEX($L$12:$L$59,MAX($B$6,MIN($A14,$B$7)))</f>
        <v>0.928504450098814</v>
      </c>
      <c r="N14" s="27" t="n">
        <f aca="false">C14/M14</f>
        <v>239.094169097816</v>
      </c>
      <c r="O14" s="27" t="str">
        <f aca="false">IF(AND($A14&gt;=$B$6,$A14&lt;=$B$7),SUMPRODUCT(Bobot_Filter!$B$20:$B$32,N8:N20),"")</f>
        <v/>
      </c>
      <c r="P14" s="25" t="str">
        <f aca="false">IF(ISNUMBER(O14),C14/O14,"")</f>
        <v/>
      </c>
      <c r="Q14" s="25" t="str">
        <f aca="false">IF(AND($A14+(-36)&gt;=1,$A14+(-36)&lt;=$B$8),INDEX($P$12:$P$59,$A14+(-36)),"")</f>
        <v/>
      </c>
      <c r="R14" s="25" t="str">
        <f aca="false">IF(AND($A14+(-24)&gt;=1,$A14+(-24)&lt;=$B$8),INDEX($P$12:$P$59,$A14+(-24)),"")</f>
        <v/>
      </c>
      <c r="S14" s="25" t="str">
        <f aca="false">IF(AND($A14+(-12)&gt;=1,$A14+(-12)&lt;=$B$8),INDEX($P$12:$P$59,$A14+(-12)),"")</f>
        <v/>
      </c>
      <c r="T14" s="25" t="str">
        <f aca="false">IF(AND($A14+(0)&gt;=1,$A14+(0)&lt;=$B$8),INDEX($P$12:$P$59,$A14+(0)),"")</f>
        <v/>
      </c>
      <c r="U14" s="25" t="n">
        <f aca="false">IF(AND($A14+(12)&gt;=1,$A14+(12)&lt;=$B$8),INDEX($P$12:$P$59,$A14+(12)),"")</f>
        <v>0.939866509284494</v>
      </c>
      <c r="V14" s="25" t="n">
        <f aca="false">IF(AND($A14+(24)&gt;=1,$A14+(24)&lt;=$B$8),INDEX($P$12:$P$59,$A14+(24)),"")</f>
        <v>0.883702055395255</v>
      </c>
      <c r="W14" s="25" t="n">
        <f aca="false">IF(AND($A14+(36)&gt;=1,$A14+(36)&lt;=$B$8),INDEX($P$12:$P$59,$A14+(36)),"")</f>
        <v>0.898318674633833</v>
      </c>
      <c r="X14" s="25" t="n">
        <f aca="false">IF(SUMPRODUCT(Bobot_Filter!$B$43:$H$43,ISNUMBER(Q14:W14)*1)&gt;0,SUMPRODUCT(Bobot_Filter!$B$43:$H$43,Q14:W14)/SUMPRODUCT(Bobot_Filter!$B$43:$H$43,ISNUMBER(Q14:W14)*1),"")</f>
        <v>0.914220385546304</v>
      </c>
      <c r="Y14" s="25" t="str">
        <f aca="false">IF(AND($A14&gt;=$B$6,$A14&lt;=$B$7),SUMPRODUCT(Bobot_Filter!$B$4:$B$16,X8:X20),"")</f>
        <v/>
      </c>
      <c r="Z14" s="33" t="n">
        <f aca="false">X14/INDEX($Y$12:$Y$59,MAX($B$6,MIN($A14,$B$7)))</f>
        <v>0.915287411194236</v>
      </c>
      <c r="AA14" s="27" t="n">
        <f aca="false">C14/Z14</f>
        <v>242.546764311269</v>
      </c>
      <c r="AB14" s="27" t="str">
        <f aca="false">IF(AND($A14&gt;=$B$6,$A14&lt;=$B$7),SUMPRODUCT(Bobot_Filter!$B$20:$B$32,AA8:AA20),"")</f>
        <v/>
      </c>
      <c r="AC14" s="25" t="str">
        <f aca="false">IF(ISNUMBER(AB14),AA14/AB14,"")</f>
        <v/>
      </c>
      <c r="AD14" s="27" t="n">
        <f aca="false">$B$4+$B$3*A14</f>
        <v>227.838903137105</v>
      </c>
      <c r="AE14" s="27" t="n">
        <f aca="false">AD14*Z14</f>
        <v>208.538079821695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Data!E8</f>
        <v>204</v>
      </c>
      <c r="D15" s="27" t="str">
        <f aca="false">IF(AND($A15&gt;=$B$6,$A15&lt;=$B$7),SUMPRODUCT(Bobot_Filter!$B$4:$B$16,C9:C21),"")</f>
        <v/>
      </c>
      <c r="E15" s="25" t="str">
        <f aca="false">IF(ISNUMBER(D15),C15/D15,"")</f>
        <v/>
      </c>
      <c r="F15" s="25" t="str">
        <f aca="false">IF(AND($A15+(-24)&gt;=1,$A15+(-24)&lt;=$B$8),INDEX($E$12:$E$59,$A15+(-24)),"")</f>
        <v/>
      </c>
      <c r="G15" s="25" t="str">
        <f aca="false">IF(AND($A15+(-12)&gt;=1,$A15+(-12)&lt;=$B$8),INDEX($E$12:$E$59,$A15+(-12)),"")</f>
        <v/>
      </c>
      <c r="H15" s="25" t="str">
        <f aca="false">IF(AND($A15+(0)&gt;=1,$A15+(0)&lt;=$B$8),INDEX($E$12:$E$59,$A15+(0)),"")</f>
        <v/>
      </c>
      <c r="I15" s="25" t="n">
        <f aca="false">IF(AND($A15+(12)&gt;=1,$A15+(12)&lt;=$B$8),INDEX($E$12:$E$59,$A15+(12)),"")</f>
        <v>0.857886517438834</v>
      </c>
      <c r="J15" s="25" t="n">
        <f aca="false">IF(AND($A15+(24)&gt;=1,$A15+(24)&lt;=$B$8),INDEX($E$12:$E$59,$A15+(24)),"")</f>
        <v>0.946853602869254</v>
      </c>
      <c r="K15" s="25" t="n">
        <f aca="false">IF(SUMPRODUCT(Bobot_Filter!$B$38:$F$38,ISNUMBER(F15:J15)*1)&gt;0,SUMPRODUCT(Bobot_Filter!$B$38:$F$38,F15:J15)/SUMPRODUCT(Bobot_Filter!$B$38:$F$38,ISNUMBER(F15:J15)*1),"")</f>
        <v>0.887542212582307</v>
      </c>
      <c r="L15" s="25" t="str">
        <f aca="false">IF(AND($A15&gt;=$B$6,$A15&lt;=$B$7),SUMPRODUCT(Bobot_Filter!$B$4:$B$16,K9:K21),"")</f>
        <v/>
      </c>
      <c r="M15" s="25" t="n">
        <f aca="false">K15/INDEX($L$12:$L$59,MAX($B$6,MIN($A15,$B$7)))</f>
        <v>0.890963918229521</v>
      </c>
      <c r="N15" s="27" t="n">
        <f aca="false">C15/M15</f>
        <v>228.965501100627</v>
      </c>
      <c r="O15" s="27" t="str">
        <f aca="false">IF(AND($A15&gt;=$B$6,$A15&lt;=$B$7),SUMPRODUCT(Bobot_Filter!$B$20:$B$32,N9:N21),"")</f>
        <v/>
      </c>
      <c r="P15" s="25" t="str">
        <f aca="false">IF(ISNUMBER(O15),C15/O15,"")</f>
        <v/>
      </c>
      <c r="Q15" s="25" t="str">
        <f aca="false">IF(AND($A15+(-36)&gt;=1,$A15+(-36)&lt;=$B$8),INDEX($P$12:$P$59,$A15+(-36)),"")</f>
        <v/>
      </c>
      <c r="R15" s="25" t="str">
        <f aca="false">IF(AND($A15+(-24)&gt;=1,$A15+(-24)&lt;=$B$8),INDEX($P$12:$P$59,$A15+(-24)),"")</f>
        <v/>
      </c>
      <c r="S15" s="25" t="str">
        <f aca="false">IF(AND($A15+(-12)&gt;=1,$A15+(-12)&lt;=$B$8),INDEX($P$12:$P$59,$A15+(-12)),"")</f>
        <v/>
      </c>
      <c r="T15" s="25" t="str">
        <f aca="false">IF(AND($A15+(0)&gt;=1,$A15+(0)&lt;=$B$8),INDEX($P$12:$P$59,$A15+(0)),"")</f>
        <v/>
      </c>
      <c r="U15" s="25" t="n">
        <f aca="false">IF(AND($A15+(12)&gt;=1,$A15+(12)&lt;=$B$8),INDEX($P$12:$P$59,$A15+(12)),"")</f>
        <v>0.871267741686081</v>
      </c>
      <c r="V15" s="25" t="n">
        <f aca="false">IF(AND($A15+(24)&gt;=1,$A15+(24)&lt;=$B$8),INDEX($P$12:$P$59,$A15+(24)),"")</f>
        <v>0.937918513658555</v>
      </c>
      <c r="W15" s="25" t="n">
        <f aca="false">IF(AND($A15+(36)&gt;=1,$A15+(36)&lt;=$B$8),INDEX($P$12:$P$59,$A15+(36)),"")</f>
        <v>0.917126936132445</v>
      </c>
      <c r="X15" s="25" t="n">
        <f aca="false">IF(SUMPRODUCT(Bobot_Filter!$B$43:$H$43,ISNUMBER(Q15:W15)*1)&gt;0,SUMPRODUCT(Bobot_Filter!$B$43:$H$43,Q15:W15)/SUMPRODUCT(Bobot_Filter!$B$43:$H$43,ISNUMBER(Q15:W15)*1),"")</f>
        <v>0.901127864751299</v>
      </c>
      <c r="Y15" s="25" t="str">
        <f aca="false">IF(AND($A15&gt;=$B$6,$A15&lt;=$B$7),SUMPRODUCT(Bobot_Filter!$B$4:$B$16,X9:X21),"")</f>
        <v/>
      </c>
      <c r="Z15" s="33" t="n">
        <f aca="false">X15/INDEX($Y$12:$Y$59,MAX($B$6,MIN($A15,$B$7)))</f>
        <v>0.902179609559179</v>
      </c>
      <c r="AA15" s="27" t="n">
        <f aca="false">C15/Z15</f>
        <v>226.119054164478</v>
      </c>
      <c r="AB15" s="27" t="str">
        <f aca="false">IF(AND($A15&gt;=$B$6,$A15&lt;=$B$7),SUMPRODUCT(Bobot_Filter!$B$20:$B$32,AA9:AA21),"")</f>
        <v/>
      </c>
      <c r="AC15" s="25" t="str">
        <f aca="false">IF(ISNUMBER(AB15),AA15/AB15,"")</f>
        <v/>
      </c>
      <c r="AD15" s="27" t="n">
        <f aca="false">$B$4+$B$3*A15</f>
        <v>228.688570704185</v>
      </c>
      <c r="AE15" s="27" t="n">
        <f aca="false">AD15*Z15</f>
        <v>206.318165428548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Data!E9</f>
        <v>221</v>
      </c>
      <c r="D16" s="27" t="str">
        <f aca="false">IF(AND($A16&gt;=$B$6,$A16&lt;=$B$7),SUMPRODUCT(Bobot_Filter!$B$4:$B$16,C10:C22),"")</f>
        <v/>
      </c>
      <c r="E16" s="25" t="str">
        <f aca="false">IF(ISNUMBER(D16),C16/D16,"")</f>
        <v/>
      </c>
      <c r="F16" s="25" t="str">
        <f aca="false">IF(AND($A16+(-24)&gt;=1,$A16+(-24)&lt;=$B$8),INDEX($E$12:$E$59,$A16+(-24)),"")</f>
        <v/>
      </c>
      <c r="G16" s="25" t="str">
        <f aca="false">IF(AND($A16+(-12)&gt;=1,$A16+(-12)&lt;=$B$8),INDEX($E$12:$E$59,$A16+(-12)),"")</f>
        <v/>
      </c>
      <c r="H16" s="25" t="str">
        <f aca="false">IF(AND($A16+(0)&gt;=1,$A16+(0)&lt;=$B$8),INDEX($E$12:$E$59,$A16+(0)),"")</f>
        <v/>
      </c>
      <c r="I16" s="25" t="n">
        <f aca="false">IF(AND($A16+(12)&gt;=1,$A16+(12)&lt;=$B$8),INDEX($E$12:$E$59,$A16+(12)),"")</f>
        <v>0.854489164086687</v>
      </c>
      <c r="J16" s="25" t="n">
        <f aca="false">IF(AND($A16+(24)&gt;=1,$A16+(24)&lt;=$B$8),INDEX($E$12:$E$59,$A16+(24)),"")</f>
        <v>0.942019543973941</v>
      </c>
      <c r="K16" s="25" t="n">
        <f aca="false">IF(SUMPRODUCT(Bobot_Filter!$B$38:$F$38,ISNUMBER(F16:J16)*1)&gt;0,SUMPRODUCT(Bobot_Filter!$B$38:$F$38,F16:J16)/SUMPRODUCT(Bobot_Filter!$B$38:$F$38,ISNUMBER(F16:J16)*1),"")</f>
        <v>0.883665957382439</v>
      </c>
      <c r="L16" s="25" t="str">
        <f aca="false">IF(AND($A16&gt;=$B$6,$A16&lt;=$B$7),SUMPRODUCT(Bobot_Filter!$B$4:$B$16,K10:K22),"")</f>
        <v/>
      </c>
      <c r="M16" s="25" t="n">
        <f aca="false">K16/INDEX($L$12:$L$59,MAX($B$6,MIN($A16,$B$7)))</f>
        <v>0.88707271905953</v>
      </c>
      <c r="N16" s="27" t="n">
        <f aca="false">C16/M16</f>
        <v>249.134028419117</v>
      </c>
      <c r="O16" s="27" t="str">
        <f aca="false">IF(AND($A16&gt;=$B$6,$A16&lt;=$B$7),SUMPRODUCT(Bobot_Filter!$B$20:$B$32,N10:N22),"")</f>
        <v/>
      </c>
      <c r="P16" s="25" t="str">
        <f aca="false">IF(ISNUMBER(O16),C16/O16,"")</f>
        <v/>
      </c>
      <c r="Q16" s="25" t="str">
        <f aca="false">IF(AND($A16+(-36)&gt;=1,$A16+(-36)&lt;=$B$8),INDEX($P$12:$P$59,$A16+(-36)),"")</f>
        <v/>
      </c>
      <c r="R16" s="25" t="str">
        <f aca="false">IF(AND($A16+(-24)&gt;=1,$A16+(-24)&lt;=$B$8),INDEX($P$12:$P$59,$A16+(-24)),"")</f>
        <v/>
      </c>
      <c r="S16" s="25" t="str">
        <f aca="false">IF(AND($A16+(-12)&gt;=1,$A16+(-12)&lt;=$B$8),INDEX($P$12:$P$59,$A16+(-12)),"")</f>
        <v/>
      </c>
      <c r="T16" s="25" t="str">
        <f aca="false">IF(AND($A16+(0)&gt;=1,$A16+(0)&lt;=$B$8),INDEX($P$12:$P$59,$A16+(0)),"")</f>
        <v/>
      </c>
      <c r="U16" s="25" t="n">
        <f aca="false">IF(AND($A16+(12)&gt;=1,$A16+(12)&lt;=$B$8),INDEX($P$12:$P$59,$A16+(12)),"")</f>
        <v>0.872859572882159</v>
      </c>
      <c r="V16" s="25" t="n">
        <f aca="false">IF(AND($A16+(24)&gt;=1,$A16+(24)&lt;=$B$8),INDEX($P$12:$P$59,$A16+(24)),"")</f>
        <v>0.929188636210649</v>
      </c>
      <c r="W16" s="25" t="n">
        <f aca="false">IF(AND($A16+(36)&gt;=1,$A16+(36)&lt;=$B$8),INDEX($P$12:$P$59,$A16+(36)),"")</f>
        <v>0.891699816535878</v>
      </c>
      <c r="X16" s="25" t="n">
        <f aca="false">IF(SUMPRODUCT(Bobot_Filter!$B$43:$H$43,ISNUMBER(Q16:W16)*1)&gt;0,SUMPRODUCT(Bobot_Filter!$B$43:$H$43,Q16:W16)/SUMPRODUCT(Bobot_Filter!$B$43:$H$43,ISNUMBER(Q16:W16)*1),"")</f>
        <v>0.894775967933942</v>
      </c>
      <c r="Y16" s="25" t="str">
        <f aca="false">IF(AND($A16&gt;=$B$6,$A16&lt;=$B$7),SUMPRODUCT(Bobot_Filter!$B$4:$B$16,X10:X22),"")</f>
        <v/>
      </c>
      <c r="Z16" s="33" t="n">
        <f aca="false">X16/INDEX($Y$12:$Y$59,MAX($B$6,MIN($A16,$B$7)))</f>
        <v>0.895820299171829</v>
      </c>
      <c r="AA16" s="27" t="n">
        <f aca="false">C16/Z16</f>
        <v>246.7012638632</v>
      </c>
      <c r="AB16" s="27" t="str">
        <f aca="false">IF(AND($A16&gt;=$B$6,$A16&lt;=$B$7),SUMPRODUCT(Bobot_Filter!$B$20:$B$32,AA10:AA22),"")</f>
        <v/>
      </c>
      <c r="AC16" s="25" t="str">
        <f aca="false">IF(ISNUMBER(AB16),AA16/AB16,"")</f>
        <v/>
      </c>
      <c r="AD16" s="27" t="n">
        <f aca="false">$B$4+$B$3*A16</f>
        <v>229.538238271264</v>
      </c>
      <c r="AE16" s="27" t="n">
        <f aca="false">AD16*Z16</f>
        <v>205.625013279539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Data!E10</f>
        <v>225</v>
      </c>
      <c r="D17" s="27" t="str">
        <f aca="false">IF(AND($A17&gt;=$B$6,$A17&lt;=$B$7),SUMPRODUCT(Bobot_Filter!$B$4:$B$16,C11:C23),"")</f>
        <v/>
      </c>
      <c r="E17" s="25" t="str">
        <f aca="false">IF(ISNUMBER(D17),C17/D17,"")</f>
        <v/>
      </c>
      <c r="F17" s="25" t="str">
        <f aca="false">IF(AND($A17+(-24)&gt;=1,$A17+(-24)&lt;=$B$8),INDEX($E$12:$E$59,$A17+(-24)),"")</f>
        <v/>
      </c>
      <c r="G17" s="25" t="str">
        <f aca="false">IF(AND($A17+(-12)&gt;=1,$A17+(-12)&lt;=$B$8),INDEX($E$12:$E$59,$A17+(-12)),"")</f>
        <v/>
      </c>
      <c r="H17" s="25" t="str">
        <f aca="false">IF(AND($A17+(0)&gt;=1,$A17+(0)&lt;=$B$8),INDEX($E$12:$E$59,$A17+(0)),"")</f>
        <v/>
      </c>
      <c r="I17" s="25" t="n">
        <f aca="false">IF(AND($A17+(12)&gt;=1,$A17+(12)&lt;=$B$8),INDEX($E$12:$E$59,$A17+(12)),"")</f>
        <v>0.939883201648918</v>
      </c>
      <c r="J17" s="25" t="n">
        <f aca="false">IF(AND($A17+(24)&gt;=1,$A17+(24)&lt;=$B$8),INDEX($E$12:$E$59,$A17+(24)),"")</f>
        <v>0.923679060665362</v>
      </c>
      <c r="K17" s="25" t="n">
        <f aca="false">IF(SUMPRODUCT(Bobot_Filter!$B$38:$F$38,ISNUMBER(F17:J17)*1)&gt;0,SUMPRODUCT(Bobot_Filter!$B$38:$F$38,F17:J17)/SUMPRODUCT(Bobot_Filter!$B$38:$F$38,ISNUMBER(F17:J17)*1),"")</f>
        <v>0.934481821321066</v>
      </c>
      <c r="L17" s="25" t="str">
        <f aca="false">IF(AND($A17&gt;=$B$6,$A17&lt;=$B$7),SUMPRODUCT(Bobot_Filter!$B$4:$B$16,K11:K23),"")</f>
        <v/>
      </c>
      <c r="M17" s="25" t="n">
        <f aca="false">K17/INDEX($L$12:$L$59,MAX($B$6,MIN($A17,$B$7)))</f>
        <v>0.938084491346111</v>
      </c>
      <c r="N17" s="27" t="n">
        <f aca="false">C17/M17</f>
        <v>239.850463445073</v>
      </c>
      <c r="O17" s="27" t="str">
        <f aca="false">IF(AND($A17&gt;=$B$6,$A17&lt;=$B$7),SUMPRODUCT(Bobot_Filter!$B$20:$B$32,N11:N23),"")</f>
        <v/>
      </c>
      <c r="P17" s="25" t="str">
        <f aca="false">IF(ISNUMBER(O17),C17/O17,"")</f>
        <v/>
      </c>
      <c r="Q17" s="25" t="str">
        <f aca="false">IF(AND($A17+(-36)&gt;=1,$A17+(-36)&lt;=$B$8),INDEX($P$12:$P$59,$A17+(-36)),"")</f>
        <v/>
      </c>
      <c r="R17" s="25" t="str">
        <f aca="false">IF(AND($A17+(-24)&gt;=1,$A17+(-24)&lt;=$B$8),INDEX($P$12:$P$59,$A17+(-24)),"")</f>
        <v/>
      </c>
      <c r="S17" s="25" t="str">
        <f aca="false">IF(AND($A17+(-12)&gt;=1,$A17+(-12)&lt;=$B$8),INDEX($P$12:$P$59,$A17+(-12)),"")</f>
        <v/>
      </c>
      <c r="T17" s="25" t="str">
        <f aca="false">IF(AND($A17+(0)&gt;=1,$A17+(0)&lt;=$B$8),INDEX($P$12:$P$59,$A17+(0)),"")</f>
        <v/>
      </c>
      <c r="U17" s="25" t="n">
        <f aca="false">IF(AND($A17+(12)&gt;=1,$A17+(12)&lt;=$B$8),INDEX($P$12:$P$59,$A17+(12)),"")</f>
        <v>0.951348146468574</v>
      </c>
      <c r="V17" s="25" t="n">
        <f aca="false">IF(AND($A17+(24)&gt;=1,$A17+(24)&lt;=$B$8),INDEX($P$12:$P$59,$A17+(24)),"")</f>
        <v>0.908290840956452</v>
      </c>
      <c r="W17" s="25" t="n">
        <f aca="false">IF(AND($A17+(36)&gt;=1,$A17+(36)&lt;=$B$8),INDEX($P$12:$P$59,$A17+(36)),"")</f>
        <v>0.924586342062583</v>
      </c>
      <c r="X17" s="25" t="n">
        <f aca="false">IF(SUMPRODUCT(Bobot_Filter!$B$43:$H$43,ISNUMBER(Q17:W17)*1)&gt;0,SUMPRODUCT(Bobot_Filter!$B$43:$H$43,Q17:W17)/SUMPRODUCT(Bobot_Filter!$B$43:$H$43,ISNUMBER(Q17:W17)*1),"")</f>
        <v>0.932535410563535</v>
      </c>
      <c r="Y17" s="25" t="str">
        <f aca="false">IF(AND($A17&gt;=$B$6,$A17&lt;=$B$7),SUMPRODUCT(Bobot_Filter!$B$4:$B$16,X11:X23),"")</f>
        <v/>
      </c>
      <c r="Z17" s="33" t="n">
        <f aca="false">X17/INDEX($Y$12:$Y$59,MAX($B$6,MIN($A17,$B$7)))</f>
        <v>0.933623812459191</v>
      </c>
      <c r="AA17" s="27" t="n">
        <f aca="false">C17/Z17</f>
        <v>240.996423824435</v>
      </c>
      <c r="AB17" s="27" t="str">
        <f aca="false">IF(AND($A17&gt;=$B$6,$A17&lt;=$B$7),SUMPRODUCT(Bobot_Filter!$B$20:$B$32,AA11:AA23),"")</f>
        <v/>
      </c>
      <c r="AC17" s="25" t="str">
        <f aca="false">IF(ISNUMBER(AB17),AA17/AB17,"")</f>
        <v/>
      </c>
      <c r="AD17" s="27" t="n">
        <f aca="false">$B$4+$B$3*A17</f>
        <v>230.387905838344</v>
      </c>
      <c r="AE17" s="27" t="n">
        <f aca="false">AD17*Z17</f>
        <v>215.095634993284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Data!E11</f>
        <v>278</v>
      </c>
      <c r="D18" s="27" t="n">
        <f aca="false">IF(AND($A18&gt;=$B$6,$A18&lt;=$B$7),SUMPRODUCT(Bobot_Filter!$B$4:$B$16,C12:C24),"")</f>
        <v>232.791666666667</v>
      </c>
      <c r="E18" s="25" t="n">
        <f aca="false">IF(ISNUMBER(D18),C18/D18,"")</f>
        <v>1.1942008233399</v>
      </c>
      <c r="F18" s="25" t="str">
        <f aca="false">IF(AND($A18+(-24)&gt;=1,$A18+(-24)&lt;=$B$8),INDEX($E$12:$E$59,$A18+(-24)),"")</f>
        <v/>
      </c>
      <c r="G18" s="25" t="str">
        <f aca="false">IF(AND($A18+(-12)&gt;=1,$A18+(-12)&lt;=$B$8),INDEX($E$12:$E$59,$A18+(-12)),"")</f>
        <v/>
      </c>
      <c r="H18" s="25" t="n">
        <f aca="false">IF(AND($A18+(0)&gt;=1,$A18+(0)&lt;=$B$8),INDEX($E$12:$E$59,$A18+(0)),"")</f>
        <v>1.1942008233399</v>
      </c>
      <c r="I18" s="25" t="n">
        <f aca="false">IF(AND($A18+(12)&gt;=1,$A18+(12)&lt;=$B$8),INDEX($E$12:$E$59,$A18+(12)),"")</f>
        <v>1.16348633316142</v>
      </c>
      <c r="J18" s="25" t="n">
        <f aca="false">IF(AND($A18+(24)&gt;=1,$A18+(24)&lt;=$B$8),INDEX($E$12:$E$59,$A18+(24)),"")</f>
        <v>1.12536633018561</v>
      </c>
      <c r="K18" s="25" t="n">
        <f aca="false">IF(SUMPRODUCT(Bobot_Filter!$B$38:$F$38,ISNUMBER(F18:J18)*1)&gt;0,SUMPRODUCT(Bobot_Filter!$B$38:$F$38,F18:J18)/SUMPRODUCT(Bobot_Filter!$B$38:$F$38,ISNUMBER(F18:J18)*1),"")</f>
        <v>1.17249024442136</v>
      </c>
      <c r="L18" s="25" t="n">
        <f aca="false">IF(AND($A18&gt;=$B$6,$A18&lt;=$B$7),SUMPRODUCT(Bobot_Filter!$B$4:$B$16,K12:K24),"")</f>
        <v>0.996159546332681</v>
      </c>
      <c r="M18" s="25" t="n">
        <f aca="false">K18/INDEX($L$12:$L$59,MAX($B$6,MIN($A18,$B$7)))</f>
        <v>1.17701049870759</v>
      </c>
      <c r="N18" s="27" t="n">
        <f aca="false">C18/M18</f>
        <v>236.191606026672</v>
      </c>
      <c r="O18" s="27" t="n">
        <f aca="false">IF(AND($A18&gt;=$B$6,$A18&lt;=$B$7),SUMPRODUCT(Bobot_Filter!$B$20:$B$32,N12:N24),"")</f>
        <v>231.951245412079</v>
      </c>
      <c r="P18" s="25" t="n">
        <f aca="false">IF(ISNUMBER(O18),C18/O18,"")</f>
        <v>1.19852773157614</v>
      </c>
      <c r="Q18" s="25" t="str">
        <f aca="false">IF(AND($A18+(-36)&gt;=1,$A18+(-36)&lt;=$B$8),INDEX($P$12:$P$59,$A18+(-36)),"")</f>
        <v/>
      </c>
      <c r="R18" s="25" t="str">
        <f aca="false">IF(AND($A18+(-24)&gt;=1,$A18+(-24)&lt;=$B$8),INDEX($P$12:$P$59,$A18+(-24)),"")</f>
        <v/>
      </c>
      <c r="S18" s="25" t="str">
        <f aca="false">IF(AND($A18+(-12)&gt;=1,$A18+(-12)&lt;=$B$8),INDEX($P$12:$P$59,$A18+(-12)),"")</f>
        <v/>
      </c>
      <c r="T18" s="25" t="n">
        <f aca="false">IF(AND($A18+(0)&gt;=1,$A18+(0)&lt;=$B$8),INDEX($P$12:$P$59,$A18+(0)),"")</f>
        <v>1.19852773157614</v>
      </c>
      <c r="U18" s="25" t="n">
        <f aca="false">IF(AND($A18+(12)&gt;=1,$A18+(12)&lt;=$B$8),INDEX($P$12:$P$59,$A18+(12)),"")</f>
        <v>1.16081783318736</v>
      </c>
      <c r="V18" s="25" t="n">
        <f aca="false">IF(AND($A18+(24)&gt;=1,$A18+(24)&lt;=$B$8),INDEX($P$12:$P$59,$A18+(24)),"")</f>
        <v>1.1098973391395</v>
      </c>
      <c r="W18" s="25" t="str">
        <f aca="false">IF(AND($A18+(36)&gt;=1,$A18+(36)&lt;=$B$8),INDEX($P$12:$P$59,$A18+(36)),"")</f>
        <v/>
      </c>
      <c r="X18" s="25" t="n">
        <f aca="false">IF(SUMPRODUCT(Bobot_Filter!$B$43:$H$43,ISNUMBER(Q18:W18)*1)&gt;0,SUMPRODUCT(Bobot_Filter!$B$43:$H$43,Q18:W18)/SUMPRODUCT(Bobot_Filter!$B$43:$H$43,ISNUMBER(Q18:W18)*1),"")</f>
        <v>1.16222892157119</v>
      </c>
      <c r="Y18" s="25" t="n">
        <f aca="false">IF(AND($A18&gt;=$B$6,$A18&lt;=$B$7),SUMPRODUCT(Bobot_Filter!$B$4:$B$16,X12:X24),"")</f>
        <v>0.998834217935391</v>
      </c>
      <c r="Z18" s="33" t="n">
        <f aca="false">X18/INDEX($Y$12:$Y$59,MAX($B$6,MIN($A18,$B$7)))</f>
        <v>1.16358540857114</v>
      </c>
      <c r="AA18" s="27" t="n">
        <f aca="false">C18/Z18</f>
        <v>238.916712045555</v>
      </c>
      <c r="AB18" s="27" t="n">
        <f aca="false">IF(AND($A18&gt;=$B$6,$A18&lt;=$B$7),SUMPRODUCT(Bobot_Filter!$B$20:$B$32,AA12:AA24),"")</f>
        <v>230.731499173602</v>
      </c>
      <c r="AC18" s="25" t="n">
        <f aca="false">IF(ISNUMBER(AB18),AA18/AB18,"")</f>
        <v>1.03547505607717</v>
      </c>
      <c r="AD18" s="27" t="n">
        <f aca="false">$B$4+$B$3*A18</f>
        <v>231.237573405423</v>
      </c>
      <c r="AE18" s="27" t="n">
        <f aca="false">AD18*Z18</f>
        <v>269.064666327948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Data!E12</f>
        <v>245</v>
      </c>
      <c r="D19" s="27" t="n">
        <f aca="false">IF(AND($A19&gt;=$B$6,$A19&lt;=$B$7),SUMPRODUCT(Bobot_Filter!$B$4:$B$16,C13:C25),"")</f>
        <v>233.375</v>
      </c>
      <c r="E19" s="25" t="n">
        <f aca="false">IF(ISNUMBER(D19),C19/D19,"")</f>
        <v>1.04981253347617</v>
      </c>
      <c r="F19" s="25" t="str">
        <f aca="false">IF(AND($A19+(-24)&gt;=1,$A19+(-24)&lt;=$B$8),INDEX($E$12:$E$59,$A19+(-24)),"")</f>
        <v/>
      </c>
      <c r="G19" s="25" t="str">
        <f aca="false">IF(AND($A19+(-12)&gt;=1,$A19+(-12)&lt;=$B$8),INDEX($E$12:$E$59,$A19+(-12)),"")</f>
        <v/>
      </c>
      <c r="H19" s="25" t="n">
        <f aca="false">IF(AND($A19+(0)&gt;=1,$A19+(0)&lt;=$B$8),INDEX($E$12:$E$59,$A19+(0)),"")</f>
        <v>1.04981253347617</v>
      </c>
      <c r="I19" s="25" t="n">
        <f aca="false">IF(AND($A19+(12)&gt;=1,$A19+(12)&lt;=$B$8),INDEX($E$12:$E$59,$A19+(12)),"")</f>
        <v>1.07205202806777</v>
      </c>
      <c r="J19" s="25" t="n">
        <f aca="false">IF(AND($A19+(24)&gt;=1,$A19+(24)&lt;=$B$8),INDEX($E$12:$E$59,$A19+(24)),"")</f>
        <v>1.08379523964786</v>
      </c>
      <c r="K19" s="25" t="n">
        <f aca="false">IF(SUMPRODUCT(Bobot_Filter!$B$38:$F$38,ISNUMBER(F19:J19)*1)&gt;0,SUMPRODUCT(Bobot_Filter!$B$38:$F$38,F19:J19)/SUMPRODUCT(Bobot_Filter!$B$38:$F$38,ISNUMBER(F19:J19)*1),"")</f>
        <v>1.06288948270198</v>
      </c>
      <c r="L19" s="25" t="n">
        <f aca="false">IF(AND($A19&gt;=$B$6,$A19&lt;=$B$7),SUMPRODUCT(Bobot_Filter!$B$4:$B$16,K13:K25),"")</f>
        <v>0.995515976192067</v>
      </c>
      <c r="M19" s="25" t="n">
        <f aca="false">K19/INDEX($L$12:$L$59,MAX($B$6,MIN($A19,$B$7)))</f>
        <v>1.0676769716621</v>
      </c>
      <c r="N19" s="27" t="n">
        <f aca="false">C19/M19</f>
        <v>229.470154834002</v>
      </c>
      <c r="O19" s="27" t="n">
        <f aca="false">IF(AND($A19&gt;=$B$6,$A19&lt;=$B$7),SUMPRODUCT(Bobot_Filter!$B$20:$B$32,N13:N25),"")</f>
        <v>227.685188226022</v>
      </c>
      <c r="P19" s="25" t="n">
        <f aca="false">IF(ISNUMBER(O19),C19/O19,"")</f>
        <v>1.07604715927674</v>
      </c>
      <c r="Q19" s="25" t="str">
        <f aca="false">IF(AND($A19+(-36)&gt;=1,$A19+(-36)&lt;=$B$8),INDEX($P$12:$P$59,$A19+(-36)),"")</f>
        <v/>
      </c>
      <c r="R19" s="25" t="str">
        <f aca="false">IF(AND($A19+(-24)&gt;=1,$A19+(-24)&lt;=$B$8),INDEX($P$12:$P$59,$A19+(-24)),"")</f>
        <v/>
      </c>
      <c r="S19" s="25" t="str">
        <f aca="false">IF(AND($A19+(-12)&gt;=1,$A19+(-12)&lt;=$B$8),INDEX($P$12:$P$59,$A19+(-12)),"")</f>
        <v/>
      </c>
      <c r="T19" s="25" t="n">
        <f aca="false">IF(AND($A19+(0)&gt;=1,$A19+(0)&lt;=$B$8),INDEX($P$12:$P$59,$A19+(0)),"")</f>
        <v>1.07604715927674</v>
      </c>
      <c r="U19" s="25" t="n">
        <f aca="false">IF(AND($A19+(12)&gt;=1,$A19+(12)&lt;=$B$8),INDEX($P$12:$P$59,$A19+(12)),"")</f>
        <v>1.06229951589914</v>
      </c>
      <c r="V19" s="25" t="n">
        <f aca="false">IF(AND($A19+(24)&gt;=1,$A19+(24)&lt;=$B$8),INDEX($P$12:$P$59,$A19+(24)),"")</f>
        <v>1.07036828138002</v>
      </c>
      <c r="W19" s="25" t="str">
        <f aca="false">IF(AND($A19+(36)&gt;=1,$A19+(36)&lt;=$B$8),INDEX($P$12:$P$59,$A19+(36)),"")</f>
        <v/>
      </c>
      <c r="X19" s="25" t="n">
        <f aca="false">IF(SUMPRODUCT(Bobot_Filter!$B$43:$H$43,ISNUMBER(Q19:W19)*1)&gt;0,SUMPRODUCT(Bobot_Filter!$B$43:$H$43,Q19:W19)/SUMPRODUCT(Bobot_Filter!$B$43:$H$43,ISNUMBER(Q19:W19)*1),"")</f>
        <v>1.06947207353596</v>
      </c>
      <c r="Y19" s="25" t="n">
        <f aca="false">IF(AND($A19&gt;=$B$6,$A19&lt;=$B$7),SUMPRODUCT(Bobot_Filter!$B$4:$B$16,X13:X25),"")</f>
        <v>0.998757535888592</v>
      </c>
      <c r="Z19" s="33" t="n">
        <f aca="false">X19/INDEX($Y$12:$Y$59,MAX($B$6,MIN($A19,$B$7)))</f>
        <v>1.07080250722159</v>
      </c>
      <c r="AA19" s="27" t="n">
        <f aca="false">C19/Z19</f>
        <v>228.800360802014</v>
      </c>
      <c r="AB19" s="27" t="n">
        <f aca="false">IF(AND($A19&gt;=$B$6,$A19&lt;=$B$7),SUMPRODUCT(Bobot_Filter!$B$20:$B$32,AA13:AA25),"")</f>
        <v>226.020629304706</v>
      </c>
      <c r="AC19" s="25" t="n">
        <f aca="false">IF(ISNUMBER(AB19),AA19/AB19,"")</f>
        <v>1.01229857427554</v>
      </c>
      <c r="AD19" s="27" t="n">
        <f aca="false">$B$4+$B$3*A19</f>
        <v>232.087240972503</v>
      </c>
      <c r="AE19" s="27" t="n">
        <f aca="false">AD19*Z19</f>
        <v>248.519599527497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Data!E13</f>
        <v>179</v>
      </c>
      <c r="D20" s="27" t="n">
        <f aca="false">IF(AND($A20&gt;=$B$6,$A20&lt;=$B$7),SUMPRODUCT(Bobot_Filter!$B$4:$B$16,C14:C26),"")</f>
        <v>233.708333333333</v>
      </c>
      <c r="E20" s="25" t="n">
        <f aca="false">IF(ISNUMBER(D20),C20/D20,"")</f>
        <v>0.765911927259761</v>
      </c>
      <c r="F20" s="25" t="str">
        <f aca="false">IF(AND($A20+(-24)&gt;=1,$A20+(-24)&lt;=$B$8),INDEX($E$12:$E$59,$A20+(-24)),"")</f>
        <v/>
      </c>
      <c r="G20" s="25" t="str">
        <f aca="false">IF(AND($A20+(-12)&gt;=1,$A20+(-12)&lt;=$B$8),INDEX($E$12:$E$59,$A20+(-12)),"")</f>
        <v/>
      </c>
      <c r="H20" s="25" t="n">
        <f aca="false">IF(AND($A20+(0)&gt;=1,$A20+(0)&lt;=$B$8),INDEX($E$12:$E$59,$A20+(0)),"")</f>
        <v>0.765911927259761</v>
      </c>
      <c r="I20" s="25" t="n">
        <f aca="false">IF(AND($A20+(12)&gt;=1,$A20+(12)&lt;=$B$8),INDEX($E$12:$E$59,$A20+(12)),"")</f>
        <v>0.932674279870462</v>
      </c>
      <c r="J20" s="25" t="n">
        <f aca="false">IF(AND($A20+(24)&gt;=1,$A20+(24)&lt;=$B$8),INDEX($E$12:$E$59,$A20+(24)),"")</f>
        <v>0.971755102040816</v>
      </c>
      <c r="K20" s="25" t="n">
        <f aca="false">IF(SUMPRODUCT(Bobot_Filter!$B$38:$F$38,ISNUMBER(F20:J20)*1)&gt;0,SUMPRODUCT(Bobot_Filter!$B$38:$F$38,F20:J20)/SUMPRODUCT(Bobot_Filter!$B$38:$F$38,ISNUMBER(F20:J20)*1),"")</f>
        <v>0.855806573926837</v>
      </c>
      <c r="L20" s="25" t="n">
        <f aca="false">IF(AND($A20&gt;=$B$6,$A20&lt;=$B$7),SUMPRODUCT(Bobot_Filter!$B$4:$B$16,K14:K26),"")</f>
        <v>0.99488168633111</v>
      </c>
      <c r="M20" s="25" t="n">
        <f aca="false">K20/INDEX($L$12:$L$59,MAX($B$6,MIN($A20,$B$7)))</f>
        <v>0.860209395433593</v>
      </c>
      <c r="N20" s="27" t="n">
        <f aca="false">C20/M20</f>
        <v>208.088868768719</v>
      </c>
      <c r="O20" s="27" t="n">
        <f aca="false">IF(AND($A20&gt;=$B$6,$A20&lt;=$B$7),SUMPRODUCT(Bobot_Filter!$B$20:$B$32,N14:N26),"")</f>
        <v>225.388990869156</v>
      </c>
      <c r="P20" s="25" t="n">
        <f aca="false">IF(ISNUMBER(O20),C20/O20,"")</f>
        <v>0.79418253442518</v>
      </c>
      <c r="Q20" s="25" t="str">
        <f aca="false">IF(AND($A20+(-36)&gt;=1,$A20+(-36)&lt;=$B$8),INDEX($P$12:$P$59,$A20+(-36)),"")</f>
        <v/>
      </c>
      <c r="R20" s="25" t="str">
        <f aca="false">IF(AND($A20+(-24)&gt;=1,$A20+(-24)&lt;=$B$8),INDEX($P$12:$P$59,$A20+(-24)),"")</f>
        <v/>
      </c>
      <c r="S20" s="25" t="str">
        <f aca="false">IF(AND($A20+(-12)&gt;=1,$A20+(-12)&lt;=$B$8),INDEX($P$12:$P$59,$A20+(-12)),"")</f>
        <v/>
      </c>
      <c r="T20" s="25" t="n">
        <f aca="false">IF(AND($A20+(0)&gt;=1,$A20+(0)&lt;=$B$8),INDEX($P$12:$P$59,$A20+(0)),"")</f>
        <v>0.79418253442518</v>
      </c>
      <c r="U20" s="25" t="n">
        <f aca="false">IF(AND($A20+(12)&gt;=1,$A20+(12)&lt;=$B$8),INDEX($P$12:$P$59,$A20+(12)),"")</f>
        <v>0.921231160779794</v>
      </c>
      <c r="V20" s="25" t="n">
        <f aca="false">IF(AND($A20+(24)&gt;=1,$A20+(24)&lt;=$B$8),INDEX($P$12:$P$59,$A20+(24)),"")</f>
        <v>0.962654923426868</v>
      </c>
      <c r="W20" s="25" t="str">
        <f aca="false">IF(AND($A20+(36)&gt;=1,$A20+(36)&lt;=$B$8),INDEX($P$12:$P$59,$A20+(36)),"")</f>
        <v/>
      </c>
      <c r="X20" s="25" t="n">
        <f aca="false">IF(SUMPRODUCT(Bobot_Filter!$B$43:$H$43,ISNUMBER(Q20:W20)*1)&gt;0,SUMPRODUCT(Bobot_Filter!$B$43:$H$43,Q20:W20)/SUMPRODUCT(Bobot_Filter!$B$43:$H$43,ISNUMBER(Q20:W20)*1),"")</f>
        <v>0.883943866558583</v>
      </c>
      <c r="Y20" s="25" t="n">
        <f aca="false">IF(AND($A20&gt;=$B$6,$A20&lt;=$B$7),SUMPRODUCT(Bobot_Filter!$B$4:$B$16,X14:X26),"")</f>
        <v>0.998581235743439</v>
      </c>
      <c r="Z20" s="33" t="n">
        <f aca="false">X20/INDEX($Y$12:$Y$59,MAX($B$6,MIN($A20,$B$7)))</f>
        <v>0.885199756332784</v>
      </c>
      <c r="AA20" s="27" t="n">
        <f aca="false">C20/Z20</f>
        <v>202.214244546975</v>
      </c>
      <c r="AB20" s="27" t="n">
        <f aca="false">IF(AND($A20&gt;=$B$6,$A20&lt;=$B$7),SUMPRODUCT(Bobot_Filter!$B$20:$B$32,AA14:AA26),"")</f>
        <v>223.617000700164</v>
      </c>
      <c r="AC20" s="25" t="n">
        <f aca="false">IF(ISNUMBER(AB20),AA20/AB20,"")</f>
        <v>0.904288331897057</v>
      </c>
      <c r="AD20" s="27" t="n">
        <f aca="false">$B$4+$B$3*A20</f>
        <v>232.936908539583</v>
      </c>
      <c r="AE20" s="27" t="n">
        <f aca="false">AD20*Z20</f>
        <v>206.195694680151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Data!E14</f>
        <v>223</v>
      </c>
      <c r="D21" s="27" t="n">
        <f aca="false">IF(AND($A21&gt;=$B$6,$A21&lt;=$B$7),SUMPRODUCT(Bobot_Filter!$B$4:$B$16,C15:C27),"")</f>
        <v>233.833333333333</v>
      </c>
      <c r="E21" s="25" t="n">
        <f aca="false">IF(ISNUMBER(D21),C21/D21,"")</f>
        <v>0.953670705630791</v>
      </c>
      <c r="F21" s="25" t="str">
        <f aca="false">IF(AND($A21+(-24)&gt;=1,$A21+(-24)&lt;=$B$8),INDEX($E$12:$E$59,$A21+(-24)),"")</f>
        <v/>
      </c>
      <c r="G21" s="25" t="str">
        <f aca="false">IF(AND($A21+(-12)&gt;=1,$A21+(-12)&lt;=$B$8),INDEX($E$12:$E$59,$A21+(-12)),"")</f>
        <v/>
      </c>
      <c r="H21" s="25" t="n">
        <f aca="false">IF(AND($A21+(0)&gt;=1,$A21+(0)&lt;=$B$8),INDEX($E$12:$E$59,$A21+(0)),"")</f>
        <v>0.953670705630791</v>
      </c>
      <c r="I21" s="25" t="n">
        <f aca="false">IF(AND($A21+(12)&gt;=1,$A21+(12)&lt;=$B$8),INDEX($E$12:$E$59,$A21+(12)),"")</f>
        <v>1.04029800203183</v>
      </c>
      <c r="J21" s="25" t="n">
        <f aca="false">IF(AND($A21+(24)&gt;=1,$A21+(24)&lt;=$B$8),INDEX($E$12:$E$59,$A21+(24)),"")</f>
        <v>1.09929658105676</v>
      </c>
      <c r="K21" s="25" t="n">
        <f aca="false">IF(SUMPRODUCT(Bobot_Filter!$B$38:$F$38,ISNUMBER(F21:J21)*1)&gt;0,SUMPRODUCT(Bobot_Filter!$B$38:$F$38,F21:J21)/SUMPRODUCT(Bobot_Filter!$B$38:$F$38,ISNUMBER(F21:J21)*1),"")</f>
        <v>1.00681745033547</v>
      </c>
      <c r="L21" s="25" t="n">
        <f aca="false">IF(AND($A21&gt;=$B$6,$A21&lt;=$B$7),SUMPRODUCT(Bobot_Filter!$B$4:$B$16,K15:K27),"")</f>
        <v>0.994753164518711</v>
      </c>
      <c r="M21" s="25" t="n">
        <f aca="false">K21/INDEX($L$12:$L$59,MAX($B$6,MIN($A21,$B$7)))</f>
        <v>1.01212791901255</v>
      </c>
      <c r="N21" s="27" t="n">
        <f aca="false">C21/M21</f>
        <v>220.327881299395</v>
      </c>
      <c r="O21" s="27" t="n">
        <f aca="false">IF(AND($A21&gt;=$B$6,$A21&lt;=$B$7),SUMPRODUCT(Bobot_Filter!$B$20:$B$32,N15:N27),"")</f>
        <v>226.291006009483</v>
      </c>
      <c r="P21" s="25" t="n">
        <f aca="false">IF(ISNUMBER(O21),C21/O21,"")</f>
        <v>0.985456752932791</v>
      </c>
      <c r="Q21" s="25" t="str">
        <f aca="false">IF(AND($A21+(-36)&gt;=1,$A21+(-36)&lt;=$B$8),INDEX($P$12:$P$59,$A21+(-36)),"")</f>
        <v/>
      </c>
      <c r="R21" s="25" t="str">
        <f aca="false">IF(AND($A21+(-24)&gt;=1,$A21+(-24)&lt;=$B$8),INDEX($P$12:$P$59,$A21+(-24)),"")</f>
        <v/>
      </c>
      <c r="S21" s="25" t="str">
        <f aca="false">IF(AND($A21+(-12)&gt;=1,$A21+(-12)&lt;=$B$8),INDEX($P$12:$P$59,$A21+(-12)),"")</f>
        <v/>
      </c>
      <c r="T21" s="25" t="n">
        <f aca="false">IF(AND($A21+(0)&gt;=1,$A21+(0)&lt;=$B$8),INDEX($P$12:$P$59,$A21+(0)),"")</f>
        <v>0.985456752932791</v>
      </c>
      <c r="U21" s="25" t="n">
        <f aca="false">IF(AND($A21+(12)&gt;=1,$A21+(12)&lt;=$B$8),INDEX($P$12:$P$59,$A21+(12)),"")</f>
        <v>1.03243853555861</v>
      </c>
      <c r="V21" s="25" t="n">
        <f aca="false">IF(AND($A21+(24)&gt;=1,$A21+(24)&lt;=$B$8),INDEX($P$12:$P$59,$A21+(24)),"")</f>
        <v>1.09424567043344</v>
      </c>
      <c r="W21" s="25" t="str">
        <f aca="false">IF(AND($A21+(36)&gt;=1,$A21+(36)&lt;=$B$8),INDEX($P$12:$P$59,$A21+(36)),"")</f>
        <v/>
      </c>
      <c r="X21" s="25" t="n">
        <f aca="false">IF(SUMPRODUCT(Bobot_Filter!$B$43:$H$43,ISNUMBER(Q21:W21)*1)&gt;0,SUMPRODUCT(Bobot_Filter!$B$43:$H$43,Q21:W21)/SUMPRODUCT(Bobot_Filter!$B$43:$H$43,ISNUMBER(Q21:W21)*1),"")</f>
        <v>1.03027215079264</v>
      </c>
      <c r="Y21" s="25" t="n">
        <f aca="false">IF(AND($A21&gt;=$B$6,$A21&lt;=$B$7),SUMPRODUCT(Bobot_Filter!$B$4:$B$16,X15:X27),"")</f>
        <v>0.998614411156069</v>
      </c>
      <c r="Z21" s="33" t="n">
        <f aca="false">X21/INDEX($Y$12:$Y$59,MAX($B$6,MIN($A21,$B$7)))</f>
        <v>1.03170166511008</v>
      </c>
      <c r="AA21" s="27" t="n">
        <f aca="false">C21/Z21</f>
        <v>216.147756218079</v>
      </c>
      <c r="AB21" s="27" t="n">
        <f aca="false">IF(AND($A21&gt;=$B$6,$A21&lt;=$B$7),SUMPRODUCT(Bobot_Filter!$B$20:$B$32,AA15:AA27),"")</f>
        <v>224.970938166114</v>
      </c>
      <c r="AC21" s="25" t="n">
        <f aca="false">IF(ISNUMBER(AB21),AA21/AB21,"")</f>
        <v>0.960780792310518</v>
      </c>
      <c r="AD21" s="27" t="n">
        <f aca="false">$B$4+$B$3*A21</f>
        <v>233.786576106662</v>
      </c>
      <c r="AE21" s="27" t="n">
        <f aca="false">AD21*Z21</f>
        <v>241.197999849628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Data!E15</f>
        <v>293</v>
      </c>
      <c r="D22" s="27" t="n">
        <f aca="false">IF(AND($A22&gt;=$B$6,$A22&lt;=$B$7),SUMPRODUCT(Bobot_Filter!$B$4:$B$16,C16:C28),"")</f>
        <v>233.333333333333</v>
      </c>
      <c r="E22" s="25" t="n">
        <f aca="false">IF(ISNUMBER(D22),C22/D22,"")</f>
        <v>1.25571428571429</v>
      </c>
      <c r="F22" s="25" t="str">
        <f aca="false">IF(AND($A22+(-24)&gt;=1,$A22+(-24)&lt;=$B$8),INDEX($E$12:$E$59,$A22+(-24)),"")</f>
        <v/>
      </c>
      <c r="G22" s="25" t="str">
        <f aca="false">IF(AND($A22+(-12)&gt;=1,$A22+(-12)&lt;=$B$8),INDEX($E$12:$E$59,$A22+(-12)),"")</f>
        <v/>
      </c>
      <c r="H22" s="25" t="n">
        <f aca="false">IF(AND($A22+(0)&gt;=1,$A22+(0)&lt;=$B$8),INDEX($E$12:$E$59,$A22+(0)),"")</f>
        <v>1.25571428571429</v>
      </c>
      <c r="I22" s="25" t="n">
        <f aca="false">IF(AND($A22+(12)&gt;=1,$A22+(12)&lt;=$B$8),INDEX($E$12:$E$59,$A22+(12)),"")</f>
        <v>1.24899598393574</v>
      </c>
      <c r="J22" s="25" t="n">
        <f aca="false">IF(AND($A22+(24)&gt;=1,$A22+(24)&lt;=$B$8),INDEX($E$12:$E$59,$A22+(24)),"")</f>
        <v>1.15505913272011</v>
      </c>
      <c r="K22" s="25" t="n">
        <f aca="false">IF(SUMPRODUCT(Bobot_Filter!$B$38:$F$38,ISNUMBER(F22:J22)*1)&gt;0,SUMPRODUCT(Bobot_Filter!$B$38:$F$38,F22:J22)/SUMPRODUCT(Bobot_Filter!$B$38:$F$38,ISNUMBER(F22:J22)*1),"")</f>
        <v>1.23669899295574</v>
      </c>
      <c r="L22" s="25" t="n">
        <f aca="false">IF(AND($A22&gt;=$B$6,$A22&lt;=$B$7),SUMPRODUCT(Bobot_Filter!$B$4:$B$16,K16:K28),"")</f>
        <v>0.995196693706899</v>
      </c>
      <c r="M22" s="25" t="n">
        <f aca="false">K22/INDEX($L$12:$L$59,MAX($B$6,MIN($A22,$B$7)))</f>
        <v>1.24266790753624</v>
      </c>
      <c r="N22" s="27" t="n">
        <f aca="false">C22/M22</f>
        <v>235.783026360528</v>
      </c>
      <c r="O22" s="27" t="n">
        <f aca="false">IF(AND($A22&gt;=$B$6,$A22&lt;=$B$7),SUMPRODUCT(Bobot_Filter!$B$20:$B$32,N16:N28),"")</f>
        <v>229.81036016187</v>
      </c>
      <c r="P22" s="25" t="n">
        <f aca="false">IF(ISNUMBER(O22),C22/O22,"")</f>
        <v>1.27496427834508</v>
      </c>
      <c r="Q22" s="25" t="str">
        <f aca="false">IF(AND($A22+(-36)&gt;=1,$A22+(-36)&lt;=$B$8),INDEX($P$12:$P$59,$A22+(-36)),"")</f>
        <v/>
      </c>
      <c r="R22" s="25" t="str">
        <f aca="false">IF(AND($A22+(-24)&gt;=1,$A22+(-24)&lt;=$B$8),INDEX($P$12:$P$59,$A22+(-24)),"")</f>
        <v/>
      </c>
      <c r="S22" s="25" t="str">
        <f aca="false">IF(AND($A22+(-12)&gt;=1,$A22+(-12)&lt;=$B$8),INDEX($P$12:$P$59,$A22+(-12)),"")</f>
        <v/>
      </c>
      <c r="T22" s="25" t="n">
        <f aca="false">IF(AND($A22+(0)&gt;=1,$A22+(0)&lt;=$B$8),INDEX($P$12:$P$59,$A22+(0)),"")</f>
        <v>1.27496427834508</v>
      </c>
      <c r="U22" s="25" t="n">
        <f aca="false">IF(AND($A22+(12)&gt;=1,$A22+(12)&lt;=$B$8),INDEX($P$12:$P$59,$A22+(12)),"")</f>
        <v>1.25672931797502</v>
      </c>
      <c r="V22" s="25" t="n">
        <f aca="false">IF(AND($A22+(24)&gt;=1,$A22+(24)&lt;=$B$8),INDEX($P$12:$P$59,$A22+(24)),"")</f>
        <v>1.15454898071211</v>
      </c>
      <c r="W22" s="25" t="str">
        <f aca="false">IF(AND($A22+(36)&gt;=1,$A22+(36)&lt;=$B$8),INDEX($P$12:$P$59,$A22+(36)),"")</f>
        <v/>
      </c>
      <c r="X22" s="25" t="n">
        <f aca="false">IF(SUMPRODUCT(Bobot_Filter!$B$43:$H$43,ISNUMBER(Q22:W22)*1)&gt;0,SUMPRODUCT(Bobot_Filter!$B$43:$H$43,Q22:W22)/SUMPRODUCT(Bobot_Filter!$B$43:$H$43,ISNUMBER(Q22:W22)*1),"")</f>
        <v>1.23802234379806</v>
      </c>
      <c r="Y22" s="25" t="n">
        <f aca="false">IF(AND($A22&gt;=$B$6,$A22&lt;=$B$7),SUMPRODUCT(Bobot_Filter!$B$4:$B$16,X16:X28),"")</f>
        <v>0.999052568641314</v>
      </c>
      <c r="Z22" s="33" t="n">
        <f aca="false">X22/INDEX($Y$12:$Y$59,MAX($B$6,MIN($A22,$B$7)))</f>
        <v>1.23919639732446</v>
      </c>
      <c r="AA22" s="27" t="n">
        <f aca="false">C22/Z22</f>
        <v>236.443553768083</v>
      </c>
      <c r="AB22" s="27" t="n">
        <f aca="false">IF(AND($A22&gt;=$B$6,$A22&lt;=$B$7),SUMPRODUCT(Bobot_Filter!$B$20:$B$32,AA16:AA28),"")</f>
        <v>229.461636108651</v>
      </c>
      <c r="AC22" s="25" t="n">
        <f aca="false">IF(ISNUMBER(AB22),AA22/AB22,"")</f>
        <v>1.03042738550041</v>
      </c>
      <c r="AD22" s="27" t="n">
        <f aca="false">$B$4+$B$3*A22</f>
        <v>234.636243673742</v>
      </c>
      <c r="AE22" s="27" t="n">
        <f aca="false">AD22*Z22</f>
        <v>290.760387842245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Data!E16</f>
        <v>241</v>
      </c>
      <c r="D23" s="27" t="n">
        <f aca="false">IF(AND($A23&gt;=$B$6,$A23&lt;=$B$7),SUMPRODUCT(Bobot_Filter!$B$4:$B$16,C17:C29),"")</f>
        <v>232.875</v>
      </c>
      <c r="E23" s="25" t="n">
        <f aca="false">IF(ISNUMBER(D23),C23/D23,"")</f>
        <v>1.03488996242619</v>
      </c>
      <c r="F23" s="25" t="str">
        <f aca="false">IF(AND($A23+(-24)&gt;=1,$A23+(-24)&lt;=$B$8),INDEX($E$12:$E$59,$A23+(-24)),"")</f>
        <v/>
      </c>
      <c r="G23" s="25" t="str">
        <f aca="false">IF(AND($A23+(-12)&gt;=1,$A23+(-12)&lt;=$B$8),INDEX($E$12:$E$59,$A23+(-12)),"")</f>
        <v/>
      </c>
      <c r="H23" s="25" t="n">
        <f aca="false">IF(AND($A23+(0)&gt;=1,$A23+(0)&lt;=$B$8),INDEX($E$12:$E$59,$A23+(0)),"")</f>
        <v>1.03488996242619</v>
      </c>
      <c r="I23" s="25" t="n">
        <f aca="false">IF(AND($A23+(12)&gt;=1,$A23+(12)&lt;=$B$8),INDEX($E$12:$E$59,$A23+(12)),"")</f>
        <v>0.92123629112662</v>
      </c>
      <c r="J23" s="25" t="n">
        <f aca="false">IF(AND($A23+(24)&gt;=1,$A23+(24)&lt;=$B$8),INDEX($E$12:$E$59,$A23+(24)),"")</f>
        <v>0.951785420437716</v>
      </c>
      <c r="K23" s="25" t="n">
        <f aca="false">IF(SUMPRODUCT(Bobot_Filter!$B$38:$F$38,ISNUMBER(F23:J23)*1)&gt;0,SUMPRODUCT(Bobot_Filter!$B$38:$F$38,F23:J23)/SUMPRODUCT(Bobot_Filter!$B$38:$F$38,ISNUMBER(F23:J23)*1),"")</f>
        <v>0.983154648328257</v>
      </c>
      <c r="L23" s="25" t="n">
        <f aca="false">IF(AND($A23&gt;=$B$6,$A23&lt;=$B$7),SUMPRODUCT(Bobot_Filter!$B$4:$B$16,K17:K29),"")</f>
        <v>0.995282583610772</v>
      </c>
      <c r="M23" s="25" t="n">
        <f aca="false">K23/INDEX($L$12:$L$59,MAX($B$6,MIN($A23,$B$7)))</f>
        <v>0.98781458102229</v>
      </c>
      <c r="N23" s="27" t="n">
        <f aca="false">C23/M23</f>
        <v>243.972912153806</v>
      </c>
      <c r="O23" s="27" t="n">
        <f aca="false">IF(AND($A23&gt;=$B$6,$A23&lt;=$B$7),SUMPRODUCT(Bobot_Filter!$B$20:$B$32,N17:N29),"")</f>
        <v>234.170106039684</v>
      </c>
      <c r="P23" s="25" t="n">
        <f aca="false">IF(ISNUMBER(O23),C23/O23,"")</f>
        <v>1.02916637856054</v>
      </c>
      <c r="Q23" s="25" t="str">
        <f aca="false">IF(AND($A23+(-36)&gt;=1,$A23+(-36)&lt;=$B$8),INDEX($P$12:$P$59,$A23+(-36)),"")</f>
        <v/>
      </c>
      <c r="R23" s="25" t="str">
        <f aca="false">IF(AND($A23+(-24)&gt;=1,$A23+(-24)&lt;=$B$8),INDEX($P$12:$P$59,$A23+(-24)),"")</f>
        <v/>
      </c>
      <c r="S23" s="25" t="str">
        <f aca="false">IF(AND($A23+(-12)&gt;=1,$A23+(-12)&lt;=$B$8),INDEX($P$12:$P$59,$A23+(-12)),"")</f>
        <v/>
      </c>
      <c r="T23" s="25" t="n">
        <f aca="false">IF(AND($A23+(0)&gt;=1,$A23+(0)&lt;=$B$8),INDEX($P$12:$P$59,$A23+(0)),"")</f>
        <v>1.02916637856054</v>
      </c>
      <c r="U23" s="25" t="n">
        <f aca="false">IF(AND($A23+(12)&gt;=1,$A23+(12)&lt;=$B$8),INDEX($P$12:$P$59,$A23+(12)),"")</f>
        <v>0.932430515783195</v>
      </c>
      <c r="V23" s="25" t="n">
        <f aca="false">IF(AND($A23+(24)&gt;=1,$A23+(24)&lt;=$B$8),INDEX($P$12:$P$59,$A23+(24)),"")</f>
        <v>0.958862330317284</v>
      </c>
      <c r="W23" s="25" t="str">
        <f aca="false">IF(AND($A23+(36)&gt;=1,$A23+(36)&lt;=$B$8),INDEX($P$12:$P$59,$A23+(36)),"")</f>
        <v/>
      </c>
      <c r="X23" s="25" t="n">
        <f aca="false">IF(SUMPRODUCT(Bobot_Filter!$B$43:$H$43,ISNUMBER(Q23:W23)*1)&gt;0,SUMPRODUCT(Bobot_Filter!$B$43:$H$43,Q23:W23)/SUMPRODUCT(Bobot_Filter!$B$43:$H$43,ISNUMBER(Q23:W23)*1),"")</f>
        <v>0.975314417958222</v>
      </c>
      <c r="Y23" s="25" t="n">
        <f aca="false">IF(AND($A23&gt;=$B$6,$A23&lt;=$B$7),SUMPRODUCT(Bobot_Filter!$B$4:$B$16,X17:X29),"")</f>
        <v>0.999048104468244</v>
      </c>
      <c r="Z23" s="33" t="n">
        <f aca="false">X23/INDEX($Y$12:$Y$59,MAX($B$6,MIN($A23,$B$7)))</f>
        <v>0.976243699974133</v>
      </c>
      <c r="AA23" s="27" t="n">
        <f aca="false">C23/Z23</f>
        <v>246.864589247937</v>
      </c>
      <c r="AB23" s="27" t="n">
        <f aca="false">IF(AND($A23&gt;=$B$6,$A23&lt;=$B$7),SUMPRODUCT(Bobot_Filter!$B$20:$B$32,AA17:AA29),"")</f>
        <v>234.963774935661</v>
      </c>
      <c r="AC23" s="25" t="n">
        <f aca="false">IF(ISNUMBER(AB23),AA23/AB23,"")</f>
        <v>1.05064957062226</v>
      </c>
      <c r="AD23" s="27" t="n">
        <f aca="false">$B$4+$B$3*A23</f>
        <v>235.485911240821</v>
      </c>
      <c r="AE23" s="27" t="n">
        <f aca="false">AD23*Z23</f>
        <v>229.89163728152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Data!E17</f>
        <v>228</v>
      </c>
      <c r="D24" s="27" t="n">
        <f aca="false">IF(AND($A24&gt;=$B$6,$A24&lt;=$B$7),SUMPRODUCT(Bobot_Filter!$B$4:$B$16,C18:C30),"")</f>
        <v>233.166666666667</v>
      </c>
      <c r="E24" s="25" t="n">
        <f aca="false">IF(ISNUMBER(D24),C24/D24,"")</f>
        <v>0.977841315225161</v>
      </c>
      <c r="F24" s="25" t="str">
        <f aca="false">IF(AND($A24+(-24)&gt;=1,$A24+(-24)&lt;=$B$8),INDEX($E$12:$E$59,$A24+(-24)),"")</f>
        <v/>
      </c>
      <c r="G24" s="25" t="str">
        <f aca="false">IF(AND($A24+(-12)&gt;=1,$A24+(-12)&lt;=$B$8),INDEX($E$12:$E$59,$A24+(-12)),"")</f>
        <v/>
      </c>
      <c r="H24" s="25" t="n">
        <f aca="false">IF(AND($A24+(0)&gt;=1,$A24+(0)&lt;=$B$8),INDEX($E$12:$E$59,$A24+(0)),"")</f>
        <v>0.977841315225161</v>
      </c>
      <c r="I24" s="25" t="n">
        <f aca="false">IF(AND($A24+(12)&gt;=1,$A24+(12)&lt;=$B$8),INDEX($E$12:$E$59,$A24+(12)),"")</f>
        <v>0.927055702917772</v>
      </c>
      <c r="J24" s="25" t="n">
        <f aca="false">IF(AND($A24+(24)&gt;=1,$A24+(24)&lt;=$B$8),INDEX($E$12:$E$59,$A24+(24)),"")</f>
        <v>0.917925147734734</v>
      </c>
      <c r="K24" s="25" t="n">
        <f aca="false">IF(SUMPRODUCT(Bobot_Filter!$B$38:$F$38,ISNUMBER(F24:J24)*1)&gt;0,SUMPRODUCT(Bobot_Filter!$B$38:$F$38,F24:J24)/SUMPRODUCT(Bobot_Filter!$B$38:$F$38,ISNUMBER(F24:J24)*1),"")</f>
        <v>0.950926749874293</v>
      </c>
      <c r="L24" s="25" t="n">
        <f aca="false">IF(AND($A24&gt;=$B$6,$A24&lt;=$B$7),SUMPRODUCT(Bobot_Filter!$B$4:$B$16,K18:K30),"")</f>
        <v>0.994739902895064</v>
      </c>
      <c r="M24" s="25" t="n">
        <f aca="false">K24/INDEX($L$12:$L$59,MAX($B$6,MIN($A24,$B$7)))</f>
        <v>0.955955166880048</v>
      </c>
      <c r="N24" s="27" t="n">
        <f aca="false">C24/M24</f>
        <v>238.504908911287</v>
      </c>
      <c r="O24" s="27" t="n">
        <f aca="false">IF(AND($A24&gt;=$B$6,$A24&lt;=$B$7),SUMPRODUCT(Bobot_Filter!$B$20:$B$32,N18:N30),"")</f>
        <v>237.148336323568</v>
      </c>
      <c r="P24" s="25" t="n">
        <f aca="false">IF(ISNUMBER(O24),C24/O24,"")</f>
        <v>0.961423569461243</v>
      </c>
      <c r="Q24" s="25" t="str">
        <f aca="false">IF(AND($A24+(-36)&gt;=1,$A24+(-36)&lt;=$B$8),INDEX($P$12:$P$59,$A24+(-36)),"")</f>
        <v/>
      </c>
      <c r="R24" s="25" t="str">
        <f aca="false">IF(AND($A24+(-24)&gt;=1,$A24+(-24)&lt;=$B$8),INDEX($P$12:$P$59,$A24+(-24)),"")</f>
        <v/>
      </c>
      <c r="S24" s="25" t="str">
        <f aca="false">IF(AND($A24+(-12)&gt;=1,$A24+(-12)&lt;=$B$8),INDEX($P$12:$P$59,$A24+(-12)),"")</f>
        <v/>
      </c>
      <c r="T24" s="25" t="n">
        <f aca="false">IF(AND($A24+(0)&gt;=1,$A24+(0)&lt;=$B$8),INDEX($P$12:$P$59,$A24+(0)),"")</f>
        <v>0.961423569461243</v>
      </c>
      <c r="U24" s="25" t="n">
        <f aca="false">IF(AND($A24+(12)&gt;=1,$A24+(12)&lt;=$B$8),INDEX($P$12:$P$59,$A24+(12)),"")</f>
        <v>0.933477695156803</v>
      </c>
      <c r="V24" s="25" t="n">
        <f aca="false">IF(AND($A24+(24)&gt;=1,$A24+(24)&lt;=$B$8),INDEX($P$12:$P$59,$A24+(24)),"")</f>
        <v>0.934456457344108</v>
      </c>
      <c r="W24" s="25" t="str">
        <f aca="false">IF(AND($A24+(36)&gt;=1,$A24+(36)&lt;=$B$8),INDEX($P$12:$P$59,$A24+(36)),"")</f>
        <v/>
      </c>
      <c r="X24" s="25" t="n">
        <f aca="false">IF(SUMPRODUCT(Bobot_Filter!$B$43:$H$43,ISNUMBER(Q24:W24)*1)&gt;0,SUMPRODUCT(Bobot_Filter!$B$43:$H$43,Q24:W24)/SUMPRODUCT(Bobot_Filter!$B$43:$H$43,ISNUMBER(Q24:W24)*1),"")</f>
        <v>0.944202088567794</v>
      </c>
      <c r="Y24" s="25" t="n">
        <f aca="false">IF(AND($A24&gt;=$B$6,$A24&lt;=$B$7),SUMPRODUCT(Bobot_Filter!$B$4:$B$16,X18:X30),"")</f>
        <v>0.998638153425173</v>
      </c>
      <c r="Z24" s="33" t="n">
        <f aca="false">X24/INDEX($Y$12:$Y$59,MAX($B$6,MIN($A24,$B$7)))</f>
        <v>0.945489700477924</v>
      </c>
      <c r="AA24" s="27" t="n">
        <f aca="false">C24/Z24</f>
        <v>241.144879616088</v>
      </c>
      <c r="AB24" s="27" t="n">
        <f aca="false">IF(AND($A24&gt;=$B$6,$A24&lt;=$B$7),SUMPRODUCT(Bobot_Filter!$B$20:$B$32,AA18:AA30),"")</f>
        <v>238.659413727463</v>
      </c>
      <c r="AC24" s="25" t="n">
        <f aca="false">IF(ISNUMBER(AB24),AA24/AB24,"")</f>
        <v>1.01041427970431</v>
      </c>
      <c r="AD24" s="27" t="n">
        <f aca="false">$B$4+$B$3*A24</f>
        <v>236.335578807901</v>
      </c>
      <c r="AE24" s="27" t="n">
        <f aca="false">AD24*Z24</f>
        <v>223.452855619359</v>
      </c>
      <c r="AF24" s="28" t="n">
        <f aca="false">ABS(C24-AE24)/C24</f>
        <v>0.0199436157045656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Data!E18</f>
        <v>245</v>
      </c>
      <c r="D25" s="27" t="n">
        <f aca="false">IF(AND($A25&gt;=$B$6,$A25&lt;=$B$7),SUMPRODUCT(Bobot_Filter!$B$4:$B$16,C19:C31),"")</f>
        <v>234</v>
      </c>
      <c r="E25" s="25" t="n">
        <f aca="false">IF(ISNUMBER(D25),C25/D25,"")</f>
        <v>1.04700854700855</v>
      </c>
      <c r="F25" s="25" t="str">
        <f aca="false">IF(AND($A25+(-24)&gt;=1,$A25+(-24)&lt;=$B$8),INDEX($E$12:$E$59,$A25+(-24)),"")</f>
        <v/>
      </c>
      <c r="G25" s="25" t="str">
        <f aca="false">IF(AND($A25+(-12)&gt;=1,$A25+(-12)&lt;=$B$8),INDEX($E$12:$E$59,$A25+(-12)),"")</f>
        <v/>
      </c>
      <c r="H25" s="25" t="n">
        <f aca="false">IF(AND($A25+(0)&gt;=1,$A25+(0)&lt;=$B$8),INDEX($E$12:$E$59,$A25+(0)),"")</f>
        <v>1.04700854700855</v>
      </c>
      <c r="I25" s="25" t="n">
        <f aca="false">IF(AND($A25+(12)&gt;=1,$A25+(12)&lt;=$B$8),INDEX($E$12:$E$59,$A25+(12)),"")</f>
        <v>1.05450941526264</v>
      </c>
      <c r="J25" s="25" t="n">
        <f aca="false">IF(AND($A25+(24)&gt;=1,$A25+(24)&lt;=$B$8),INDEX($E$12:$E$59,$A25+(24)),"")</f>
        <v>1.01425061425061</v>
      </c>
      <c r="K25" s="25" t="n">
        <f aca="false">IF(SUMPRODUCT(Bobot_Filter!$B$38:$F$38,ISNUMBER(F25:J25)*1)&gt;0,SUMPRODUCT(Bobot_Filter!$B$38:$F$38,F25:J25)/SUMPRODUCT(Bobot_Filter!$B$38:$F$38,ISNUMBER(F25:J25)*1),"")</f>
        <v>1.04404918096692</v>
      </c>
      <c r="L25" s="25" t="n">
        <f aca="false">IF(AND($A25&gt;=$B$6,$A25&lt;=$B$7),SUMPRODUCT(Bobot_Filter!$B$4:$B$16,K19:K31),"")</f>
        <v>0.994533396032702</v>
      </c>
      <c r="M25" s="25" t="n">
        <f aca="false">K25/INDEX($L$12:$L$59,MAX($B$6,MIN($A25,$B$7)))</f>
        <v>1.04978795597186</v>
      </c>
      <c r="N25" s="27" t="n">
        <f aca="false">C25/M25</f>
        <v>233.380463746307</v>
      </c>
      <c r="O25" s="27" t="n">
        <f aca="false">IF(AND($A25&gt;=$B$6,$A25&lt;=$B$7),SUMPRODUCT(Bobot_Filter!$B$20:$B$32,N19:N31),"")</f>
        <v>238.079200910632</v>
      </c>
      <c r="P25" s="25" t="n">
        <f aca="false">IF(ISNUMBER(O25),C25/O25,"")</f>
        <v>1.02906931417317</v>
      </c>
      <c r="Q25" s="25" t="str">
        <f aca="false">IF(AND($A25+(-36)&gt;=1,$A25+(-36)&lt;=$B$8),INDEX($P$12:$P$59,$A25+(-36)),"")</f>
        <v/>
      </c>
      <c r="R25" s="25" t="str">
        <f aca="false">IF(AND($A25+(-24)&gt;=1,$A25+(-24)&lt;=$B$8),INDEX($P$12:$P$59,$A25+(-24)),"")</f>
        <v/>
      </c>
      <c r="S25" s="25" t="str">
        <f aca="false">IF(AND($A25+(-12)&gt;=1,$A25+(-12)&lt;=$B$8),INDEX($P$12:$P$59,$A25+(-12)),"")</f>
        <v/>
      </c>
      <c r="T25" s="25" t="n">
        <f aca="false">IF(AND($A25+(0)&gt;=1,$A25+(0)&lt;=$B$8),INDEX($P$12:$P$59,$A25+(0)),"")</f>
        <v>1.02906931417317</v>
      </c>
      <c r="U25" s="25" t="n">
        <f aca="false">IF(AND($A25+(12)&gt;=1,$A25+(12)&lt;=$B$8),INDEX($P$12:$P$59,$A25+(12)),"")</f>
        <v>1.05297879733018</v>
      </c>
      <c r="V25" s="25" t="n">
        <f aca="false">IF(AND($A25+(24)&gt;=1,$A25+(24)&lt;=$B$8),INDEX($P$12:$P$59,$A25+(24)),"")</f>
        <v>1.03597019238583</v>
      </c>
      <c r="W25" s="25" t="str">
        <f aca="false">IF(AND($A25+(36)&gt;=1,$A25+(36)&lt;=$B$8),INDEX($P$12:$P$59,$A25+(36)),"")</f>
        <v/>
      </c>
      <c r="X25" s="25" t="n">
        <f aca="false">IF(SUMPRODUCT(Bobot_Filter!$B$43:$H$43,ISNUMBER(Q25:W25)*1)&gt;0,SUMPRODUCT(Bobot_Filter!$B$43:$H$43,Q25:W25)/SUMPRODUCT(Bobot_Filter!$B$43:$H$43,ISNUMBER(Q25:W25)*1),"")</f>
        <v>1.03976058991021</v>
      </c>
      <c r="Y25" s="25" t="n">
        <f aca="false">IF(AND($A25&gt;=$B$6,$A25&lt;=$B$7),SUMPRODUCT(Bobot_Filter!$B$4:$B$16,X19:X31),"")</f>
        <v>0.998400026690971</v>
      </c>
      <c r="Z25" s="33" t="n">
        <f aca="false">X25/INDEX($Y$12:$Y$59,MAX($B$6,MIN($A25,$B$7)))</f>
        <v>1.04142684506563</v>
      </c>
      <c r="AA25" s="27" t="n">
        <f aca="false">C25/Z25</f>
        <v>235.254162268653</v>
      </c>
      <c r="AB25" s="27" t="n">
        <f aca="false">IF(AND($A25&gt;=$B$6,$A25&lt;=$B$7),SUMPRODUCT(Bobot_Filter!$B$20:$B$32,AA19:AA31),"")</f>
        <v>239.507302039844</v>
      </c>
      <c r="AC25" s="25" t="n">
        <f aca="false">IF(ISNUMBER(AB25),AA25/AB25,"")</f>
        <v>0.982242129008314</v>
      </c>
      <c r="AD25" s="27" t="n">
        <f aca="false">$B$4+$B$3*A25</f>
        <v>237.185246374981</v>
      </c>
      <c r="AE25" s="27" t="n">
        <f aca="false">AD25*Z25</f>
        <v>247.011082828409</v>
      </c>
      <c r="AF25" s="28" t="n">
        <f aca="false">ABS(C25-AE25)/C25</f>
        <v>0.00820850134044467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Data!E19</f>
        <v>223</v>
      </c>
      <c r="D26" s="27" t="n">
        <f aca="false">IF(AND($A26&gt;=$B$6,$A26&lt;=$B$7),SUMPRODUCT(Bobot_Filter!$B$4:$B$16,C20:C32),"")</f>
        <v>236.708333333333</v>
      </c>
      <c r="E26" s="25" t="n">
        <f aca="false">IF(ISNUMBER(D26),C26/D26,"")</f>
        <v>0.94208766062313</v>
      </c>
      <c r="F26" s="25" t="str">
        <f aca="false">IF(AND($A26+(-24)&gt;=1,$A26+(-24)&lt;=$B$8),INDEX($E$12:$E$59,$A26+(-24)),"")</f>
        <v/>
      </c>
      <c r="G26" s="25" t="str">
        <f aca="false">IF(AND($A26+(-12)&gt;=1,$A26+(-12)&lt;=$B$8),INDEX($E$12:$E$59,$A26+(-12)),"")</f>
        <v/>
      </c>
      <c r="H26" s="25" t="n">
        <f aca="false">IF(AND($A26+(0)&gt;=1,$A26+(0)&lt;=$B$8),INDEX($E$12:$E$59,$A26+(0)),"")</f>
        <v>0.94208766062313</v>
      </c>
      <c r="I26" s="25" t="n">
        <f aca="false">IF(AND($A26+(12)&gt;=1,$A26+(12)&lt;=$B$8),INDEX($E$12:$E$59,$A26+(12)),"")</f>
        <v>0.89064039408867</v>
      </c>
      <c r="J26" s="25" t="n">
        <f aca="false">IF(AND($A26+(24)&gt;=1,$A26+(24)&lt;=$B$8),INDEX($E$12:$E$59,$A26+(24)),"")</f>
        <v>0.883507853403141</v>
      </c>
      <c r="K26" s="25" t="n">
        <f aca="false">IF(SUMPRODUCT(Bobot_Filter!$B$38:$F$38,ISNUMBER(F26:J26)*1)&gt;0,SUMPRODUCT(Bobot_Filter!$B$38:$F$38,F26:J26)/SUMPRODUCT(Bobot_Filter!$B$38:$F$38,ISNUMBER(F26:J26)*1),"")</f>
        <v>0.915175270574978</v>
      </c>
      <c r="L26" s="25" t="n">
        <f aca="false">IF(AND($A26&gt;=$B$6,$A26&lt;=$B$7),SUMPRODUCT(Bobot_Filter!$B$4:$B$16,K20:K32),"")</f>
        <v>0.996473015867596</v>
      </c>
      <c r="M26" s="25" t="n">
        <f aca="false">K26/INDEX($L$12:$L$59,MAX($B$6,MIN($A26,$B$7)))</f>
        <v>0.918414503957406</v>
      </c>
      <c r="N26" s="27" t="n">
        <f aca="false">C26/M26</f>
        <v>242.809754243975</v>
      </c>
      <c r="O26" s="27" t="n">
        <f aca="false">IF(AND($A26&gt;=$B$6,$A26&lt;=$B$7),SUMPRODUCT(Bobot_Filter!$B$20:$B$32,N20:N32),"")</f>
        <v>237.267737276612</v>
      </c>
      <c r="P26" s="25" t="n">
        <f aca="false">IF(ISNUMBER(O26),C26/O26,"")</f>
        <v>0.939866509284494</v>
      </c>
      <c r="Q26" s="25" t="str">
        <f aca="false">IF(AND($A26+(-36)&gt;=1,$A26+(-36)&lt;=$B$8),INDEX($P$12:$P$59,$A26+(-36)),"")</f>
        <v/>
      </c>
      <c r="R26" s="25" t="str">
        <f aca="false">IF(AND($A26+(-24)&gt;=1,$A26+(-24)&lt;=$B$8),INDEX($P$12:$P$59,$A26+(-24)),"")</f>
        <v/>
      </c>
      <c r="S26" s="25" t="str">
        <f aca="false">IF(AND($A26+(-12)&gt;=1,$A26+(-12)&lt;=$B$8),INDEX($P$12:$P$59,$A26+(-12)),"")</f>
        <v/>
      </c>
      <c r="T26" s="25" t="n">
        <f aca="false">IF(AND($A26+(0)&gt;=1,$A26+(0)&lt;=$B$8),INDEX($P$12:$P$59,$A26+(0)),"")</f>
        <v>0.939866509284494</v>
      </c>
      <c r="U26" s="25" t="n">
        <f aca="false">IF(AND($A26+(12)&gt;=1,$A26+(12)&lt;=$B$8),INDEX($P$12:$P$59,$A26+(12)),"")</f>
        <v>0.883702055395255</v>
      </c>
      <c r="V26" s="25" t="n">
        <f aca="false">IF(AND($A26+(24)&gt;=1,$A26+(24)&lt;=$B$8),INDEX($P$12:$P$59,$A26+(24)),"")</f>
        <v>0.898318674633833</v>
      </c>
      <c r="W26" s="25" t="str">
        <f aca="false">IF(AND($A26+(36)&gt;=1,$A26+(36)&lt;=$B$8),INDEX($P$12:$P$59,$A26+(36)),"")</f>
        <v/>
      </c>
      <c r="X26" s="25" t="n">
        <f aca="false">IF(SUMPRODUCT(Bobot_Filter!$B$43:$H$43,ISNUMBER(Q26:W26)*1)&gt;0,SUMPRODUCT(Bobot_Filter!$B$43:$H$43,Q26:W26)/SUMPRODUCT(Bobot_Filter!$B$43:$H$43,ISNUMBER(Q26:W26)*1),"")</f>
        <v>0.908417880413364</v>
      </c>
      <c r="Y26" s="25" t="n">
        <f aca="false">IF(AND($A26&gt;=$B$6,$A26&lt;=$B$7),SUMPRODUCT(Bobot_Filter!$B$4:$B$16,X20:X32),"")</f>
        <v>0.998768578842417</v>
      </c>
      <c r="Z26" s="33" t="n">
        <f aca="false">X26/INDEX($Y$12:$Y$59,MAX($B$6,MIN($A26,$B$7)))</f>
        <v>0.909537904632752</v>
      </c>
      <c r="AA26" s="27" t="n">
        <f aca="false">C26/Z26</f>
        <v>245.179446468525</v>
      </c>
      <c r="AB26" s="27" t="n">
        <f aca="false">IF(AND($A26&gt;=$B$6,$A26&lt;=$B$7),SUMPRODUCT(Bobot_Filter!$B$20:$B$32,AA20:AA32),"")</f>
        <v>237.917734451461</v>
      </c>
      <c r="AC26" s="25" t="n">
        <f aca="false">IF(ISNUMBER(AB26),AA26/AB26,"")</f>
        <v>1.0305219450488</v>
      </c>
      <c r="AD26" s="27" t="n">
        <f aca="false">$B$4+$B$3*A26</f>
        <v>238.03491394206</v>
      </c>
      <c r="AE26" s="27" t="n">
        <f aca="false">AD26*Z26</f>
        <v>216.501776856299</v>
      </c>
      <c r="AF26" s="28" t="n">
        <f aca="false">ABS(C26-AE26)/C26</f>
        <v>0.0291400140973146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Data!E20</f>
        <v>206</v>
      </c>
      <c r="D27" s="27" t="n">
        <f aca="false">IF(AND($A27&gt;=$B$6,$A27&lt;=$B$7),SUMPRODUCT(Bobot_Filter!$B$4:$B$16,C21:C33),"")</f>
        <v>240.125</v>
      </c>
      <c r="E27" s="25" t="n">
        <f aca="false">IF(ISNUMBER(D27),C27/D27,"")</f>
        <v>0.857886517438834</v>
      </c>
      <c r="F27" s="25" t="str">
        <f aca="false">IF(AND($A27+(-24)&gt;=1,$A27+(-24)&lt;=$B$8),INDEX($E$12:$E$59,$A27+(-24)),"")</f>
        <v/>
      </c>
      <c r="G27" s="25" t="str">
        <f aca="false">IF(AND($A27+(-12)&gt;=1,$A27+(-12)&lt;=$B$8),INDEX($E$12:$E$59,$A27+(-12)),"")</f>
        <v/>
      </c>
      <c r="H27" s="25" t="n">
        <f aca="false">IF(AND($A27+(0)&gt;=1,$A27+(0)&lt;=$B$8),INDEX($E$12:$E$59,$A27+(0)),"")</f>
        <v>0.857886517438834</v>
      </c>
      <c r="I27" s="25" t="n">
        <f aca="false">IF(AND($A27+(12)&gt;=1,$A27+(12)&lt;=$B$8),INDEX($E$12:$E$59,$A27+(12)),"")</f>
        <v>0.946853602869254</v>
      </c>
      <c r="J27" s="25" t="n">
        <f aca="false">IF(AND($A27+(24)&gt;=1,$A27+(24)&lt;=$B$8),INDEX($E$12:$E$59,$A27+(24)),"")</f>
        <v>0.897959183673469</v>
      </c>
      <c r="K27" s="25" t="n">
        <f aca="false">IF(SUMPRODUCT(Bobot_Filter!$B$38:$F$38,ISNUMBER(F27:J27)*1)&gt;0,SUMPRODUCT(Bobot_Filter!$B$38:$F$38,F27:J27)/SUMPRODUCT(Bobot_Filter!$B$38:$F$38,ISNUMBER(F27:J27)*1),"")</f>
        <v>0.89422099028808</v>
      </c>
      <c r="L27" s="25" t="n">
        <f aca="false">IF(AND($A27&gt;=$B$6,$A27&lt;=$B$7),SUMPRODUCT(Bobot_Filter!$B$4:$B$16,K21:K33),"")</f>
        <v>0.999221928414305</v>
      </c>
      <c r="M27" s="25" t="n">
        <f aca="false">K27/INDEX($L$12:$L$59,MAX($B$6,MIN($A27,$B$7)))</f>
        <v>0.894917300010765</v>
      </c>
      <c r="N27" s="27" t="n">
        <f aca="false">C27/M27</f>
        <v>230.188867728361</v>
      </c>
      <c r="O27" s="27" t="n">
        <f aca="false">IF(AND($A27&gt;=$B$6,$A27&lt;=$B$7),SUMPRODUCT(Bobot_Filter!$B$20:$B$32,N21:N33),"")</f>
        <v>236.43707914785</v>
      </c>
      <c r="P27" s="25" t="n">
        <f aca="false">IF(ISNUMBER(O27),C27/O27,"")</f>
        <v>0.871267741686081</v>
      </c>
      <c r="Q27" s="25" t="str">
        <f aca="false">IF(AND($A27+(-36)&gt;=1,$A27+(-36)&lt;=$B$8),INDEX($P$12:$P$59,$A27+(-36)),"")</f>
        <v/>
      </c>
      <c r="R27" s="25" t="str">
        <f aca="false">IF(AND($A27+(-24)&gt;=1,$A27+(-24)&lt;=$B$8),INDEX($P$12:$P$59,$A27+(-24)),"")</f>
        <v/>
      </c>
      <c r="S27" s="25" t="str">
        <f aca="false">IF(AND($A27+(-12)&gt;=1,$A27+(-12)&lt;=$B$8),INDEX($P$12:$P$59,$A27+(-12)),"")</f>
        <v/>
      </c>
      <c r="T27" s="25" t="n">
        <f aca="false">IF(AND($A27+(0)&gt;=1,$A27+(0)&lt;=$B$8),INDEX($P$12:$P$59,$A27+(0)),"")</f>
        <v>0.871267741686081</v>
      </c>
      <c r="U27" s="25" t="n">
        <f aca="false">IF(AND($A27+(12)&gt;=1,$A27+(12)&lt;=$B$8),INDEX($P$12:$P$59,$A27+(12)),"")</f>
        <v>0.937918513658555</v>
      </c>
      <c r="V27" s="25" t="n">
        <f aca="false">IF(AND($A27+(24)&gt;=1,$A27+(24)&lt;=$B$8),INDEX($P$12:$P$59,$A27+(24)),"")</f>
        <v>0.917126936132445</v>
      </c>
      <c r="W27" s="25" t="str">
        <f aca="false">IF(AND($A27+(36)&gt;=1,$A27+(36)&lt;=$B$8),INDEX($P$12:$P$59,$A27+(36)),"")</f>
        <v/>
      </c>
      <c r="X27" s="25" t="n">
        <f aca="false">IF(SUMPRODUCT(Bobot_Filter!$B$43:$H$43,ISNUMBER(Q27:W27)*1)&gt;0,SUMPRODUCT(Bobot_Filter!$B$43:$H$43,Q27:W27)/SUMPRODUCT(Bobot_Filter!$B$43:$H$43,ISNUMBER(Q27:W27)*1),"")</f>
        <v>0.90772657978735</v>
      </c>
      <c r="Y27" s="25" t="n">
        <f aca="false">IF(AND($A27&gt;=$B$6,$A27&lt;=$B$7),SUMPRODUCT(Bobot_Filter!$B$4:$B$16,X21:X33),"")</f>
        <v>0.999429155585515</v>
      </c>
      <c r="Z27" s="33" t="n">
        <f aca="false">X27/INDEX($Y$12:$Y$59,MAX($B$6,MIN($A27,$B$7)))</f>
        <v>0.90824504639907</v>
      </c>
      <c r="AA27" s="27" t="n">
        <f aca="false">C27/Z27</f>
        <v>226.811036092881</v>
      </c>
      <c r="AB27" s="27" t="n">
        <f aca="false">IF(AND($A27&gt;=$B$6,$A27&lt;=$B$7),SUMPRODUCT(Bobot_Filter!$B$20:$B$32,AA21:AA33),"")</f>
        <v>236.242461259991</v>
      </c>
      <c r="AC27" s="25" t="n">
        <f aca="false">IF(ISNUMBER(AB27),AA27/AB27,"")</f>
        <v>0.960077349699088</v>
      </c>
      <c r="AD27" s="27" t="n">
        <f aca="false">$B$4+$B$3*A27</f>
        <v>238.88458150914</v>
      </c>
      <c r="AE27" s="27" t="n">
        <f aca="false">AD27*Z27</f>
        <v>216.965737816791</v>
      </c>
      <c r="AF27" s="28" t="n">
        <f aca="false">ABS(C27-AE27)/C27</f>
        <v>0.0532317369747135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Data!E21</f>
        <v>207</v>
      </c>
      <c r="D28" s="27" t="n">
        <f aca="false">IF(AND($A28&gt;=$B$6,$A28&lt;=$B$7),SUMPRODUCT(Bobot_Filter!$B$4:$B$16,C22:C34),"")</f>
        <v>242.25</v>
      </c>
      <c r="E28" s="25" t="n">
        <f aca="false">IF(ISNUMBER(D28),C28/D28,"")</f>
        <v>0.854489164086687</v>
      </c>
      <c r="F28" s="25" t="str">
        <f aca="false">IF(AND($A28+(-24)&gt;=1,$A28+(-24)&lt;=$B$8),INDEX($E$12:$E$59,$A28+(-24)),"")</f>
        <v/>
      </c>
      <c r="G28" s="25" t="str">
        <f aca="false">IF(AND($A28+(-12)&gt;=1,$A28+(-12)&lt;=$B$8),INDEX($E$12:$E$59,$A28+(-12)),"")</f>
        <v/>
      </c>
      <c r="H28" s="25" t="n">
        <f aca="false">IF(AND($A28+(0)&gt;=1,$A28+(0)&lt;=$B$8),INDEX($E$12:$E$59,$A28+(0)),"")</f>
        <v>0.854489164086687</v>
      </c>
      <c r="I28" s="25" t="n">
        <f aca="false">IF(AND($A28+(12)&gt;=1,$A28+(12)&lt;=$B$8),INDEX($E$12:$E$59,$A28+(12)),"")</f>
        <v>0.942019543973941</v>
      </c>
      <c r="J28" s="25" t="n">
        <f aca="false">IF(AND($A28+(24)&gt;=1,$A28+(24)&lt;=$B$8),INDEX($E$12:$E$59,$A28+(24)),"")</f>
        <v>0.878284700951153</v>
      </c>
      <c r="K28" s="25" t="n">
        <f aca="false">IF(SUMPRODUCT(Bobot_Filter!$B$38:$F$38,ISNUMBER(F28:J28)*1)&gt;0,SUMPRODUCT(Bobot_Filter!$B$38:$F$38,F28:J28)/SUMPRODUCT(Bobot_Filter!$B$38:$F$38,ISNUMBER(F28:J28)*1),"")</f>
        <v>0.887631880193183</v>
      </c>
      <c r="L28" s="25" t="n">
        <f aca="false">IF(AND($A28&gt;=$B$6,$A28&lt;=$B$7),SUMPRODUCT(Bobot_Filter!$B$4:$B$16,K22:K34),"")</f>
        <v>0.999762096658996</v>
      </c>
      <c r="M28" s="25" t="n">
        <f aca="false">K28/INDEX($L$12:$L$59,MAX($B$6,MIN($A28,$B$7)))</f>
        <v>0.887843101033206</v>
      </c>
      <c r="N28" s="27" t="n">
        <f aca="false">C28/M28</f>
        <v>233.149302798106</v>
      </c>
      <c r="O28" s="27" t="n">
        <f aca="false">IF(AND($A28&gt;=$B$6,$A28&lt;=$B$7),SUMPRODUCT(Bobot_Filter!$B$20:$B$32,N22:N34),"")</f>
        <v>237.15154926524</v>
      </c>
      <c r="P28" s="25" t="n">
        <f aca="false">IF(ISNUMBER(O28),C28/O28,"")</f>
        <v>0.872859572882159</v>
      </c>
      <c r="Q28" s="25" t="str">
        <f aca="false">IF(AND($A28+(-36)&gt;=1,$A28+(-36)&lt;=$B$8),INDEX($P$12:$P$59,$A28+(-36)),"")</f>
        <v/>
      </c>
      <c r="R28" s="25" t="str">
        <f aca="false">IF(AND($A28+(-24)&gt;=1,$A28+(-24)&lt;=$B$8),INDEX($P$12:$P$59,$A28+(-24)),"")</f>
        <v/>
      </c>
      <c r="S28" s="25" t="str">
        <f aca="false">IF(AND($A28+(-12)&gt;=1,$A28+(-12)&lt;=$B$8),INDEX($P$12:$P$59,$A28+(-12)),"")</f>
        <v/>
      </c>
      <c r="T28" s="25" t="n">
        <f aca="false">IF(AND($A28+(0)&gt;=1,$A28+(0)&lt;=$B$8),INDEX($P$12:$P$59,$A28+(0)),"")</f>
        <v>0.872859572882159</v>
      </c>
      <c r="U28" s="25" t="n">
        <f aca="false">IF(AND($A28+(12)&gt;=1,$A28+(12)&lt;=$B$8),INDEX($P$12:$P$59,$A28+(12)),"")</f>
        <v>0.929188636210649</v>
      </c>
      <c r="V28" s="25" t="n">
        <f aca="false">IF(AND($A28+(24)&gt;=1,$A28+(24)&lt;=$B$8),INDEX($P$12:$P$59,$A28+(24)),"")</f>
        <v>0.891699816535878</v>
      </c>
      <c r="W28" s="25" t="str">
        <f aca="false">IF(AND($A28+(36)&gt;=1,$A28+(36)&lt;=$B$8),INDEX($P$12:$P$59,$A28+(36)),"")</f>
        <v/>
      </c>
      <c r="X28" s="25" t="n">
        <f aca="false">IF(SUMPRODUCT(Bobot_Filter!$B$43:$H$43,ISNUMBER(Q28:W28)*1)&gt;0,SUMPRODUCT(Bobot_Filter!$B$43:$H$43,Q28:W28)/SUMPRODUCT(Bobot_Filter!$B$43:$H$43,ISNUMBER(Q28:W28)*1),"")</f>
        <v>0.898693032543773</v>
      </c>
      <c r="Y28" s="25" t="n">
        <f aca="false">IF(AND($A28&gt;=$B$6,$A28&lt;=$B$7),SUMPRODUCT(Bobot_Filter!$B$4:$B$16,X22:X34),"")</f>
        <v>0.999338878532528</v>
      </c>
      <c r="Z28" s="33" t="n">
        <f aca="false">X28/INDEX($Y$12:$Y$59,MAX($B$6,MIN($A28,$B$7)))</f>
        <v>0.8992875708623</v>
      </c>
      <c r="AA28" s="27" t="n">
        <f aca="false">C28/Z28</f>
        <v>230.182209458887</v>
      </c>
      <c r="AB28" s="27" t="n">
        <f aca="false">IF(AND($A28&gt;=$B$6,$A28&lt;=$B$7),SUMPRODUCT(Bobot_Filter!$B$20:$B$32,AA22:AA34),"")</f>
        <v>236.617631326512</v>
      </c>
      <c r="AC28" s="25" t="n">
        <f aca="false">IF(ISNUMBER(AB28),AA28/AB28,"")</f>
        <v>0.972802441510604</v>
      </c>
      <c r="AD28" s="27" t="n">
        <f aca="false">$B$4+$B$3*A28</f>
        <v>239.734249076219</v>
      </c>
      <c r="AE28" s="27" t="n">
        <f aca="false">AD28*Z28</f>
        <v>215.590030504251</v>
      </c>
      <c r="AF28" s="28" t="n">
        <f aca="false">ABS(C28-AE28)/C28</f>
        <v>0.0414977319045936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Data!E22</f>
        <v>228</v>
      </c>
      <c r="D29" s="27" t="n">
        <f aca="false">IF(AND($A29&gt;=$B$6,$A29&lt;=$B$7),SUMPRODUCT(Bobot_Filter!$B$4:$B$16,C23:C35),"")</f>
        <v>242.583333333333</v>
      </c>
      <c r="E29" s="25" t="n">
        <f aca="false">IF(ISNUMBER(D29),C29/D29,"")</f>
        <v>0.939883201648918</v>
      </c>
      <c r="F29" s="25" t="str">
        <f aca="false">IF(AND($A29+(-24)&gt;=1,$A29+(-24)&lt;=$B$8),INDEX($E$12:$E$59,$A29+(-24)),"")</f>
        <v/>
      </c>
      <c r="G29" s="25" t="str">
        <f aca="false">IF(AND($A29+(-12)&gt;=1,$A29+(-12)&lt;=$B$8),INDEX($E$12:$E$59,$A29+(-12)),"")</f>
        <v/>
      </c>
      <c r="H29" s="25" t="n">
        <f aca="false">IF(AND($A29+(0)&gt;=1,$A29+(0)&lt;=$B$8),INDEX($E$12:$E$59,$A29+(0)),"")</f>
        <v>0.939883201648918</v>
      </c>
      <c r="I29" s="25" t="n">
        <f aca="false">IF(AND($A29+(12)&gt;=1,$A29+(12)&lt;=$B$8),INDEX($E$12:$E$59,$A29+(12)),"")</f>
        <v>0.923679060665362</v>
      </c>
      <c r="J29" s="25" t="n">
        <f aca="false">IF(AND($A29+(24)&gt;=1,$A29+(24)&lt;=$B$8),INDEX($E$12:$E$59,$A29+(24)),"")</f>
        <v>0.928455810942053</v>
      </c>
      <c r="K29" s="25" t="n">
        <f aca="false">IF(SUMPRODUCT(Bobot_Filter!$B$38:$F$38,ISNUMBER(F29:J29)*1)&gt;0,SUMPRODUCT(Bobot_Filter!$B$38:$F$38,F29:J29)/SUMPRODUCT(Bobot_Filter!$B$38:$F$38,ISNUMBER(F29:J29)*1),"")</f>
        <v>0.932577256203255</v>
      </c>
      <c r="L29" s="25" t="n">
        <f aca="false">IF(AND($A29&gt;=$B$6,$A29&lt;=$B$7),SUMPRODUCT(Bobot_Filter!$B$4:$B$16,K23:K35),"")</f>
        <v>0.998372923675637</v>
      </c>
      <c r="M29" s="25" t="n">
        <f aca="false">K29/INDEX($L$12:$L$59,MAX($B$6,MIN($A29,$B$7)))</f>
        <v>0.934097103484991</v>
      </c>
      <c r="N29" s="27" t="n">
        <f aca="false">C29/M29</f>
        <v>244.085972592531</v>
      </c>
      <c r="O29" s="27" t="n">
        <f aca="false">IF(AND($A29&gt;=$B$6,$A29&lt;=$B$7),SUMPRODUCT(Bobot_Filter!$B$20:$B$32,N23:N35),"")</f>
        <v>239.659898267886</v>
      </c>
      <c r="P29" s="25" t="n">
        <f aca="false">IF(ISNUMBER(O29),C29/O29,"")</f>
        <v>0.951348146468574</v>
      </c>
      <c r="Q29" s="25" t="str">
        <f aca="false">IF(AND($A29+(-36)&gt;=1,$A29+(-36)&lt;=$B$8),INDEX($P$12:$P$59,$A29+(-36)),"")</f>
        <v/>
      </c>
      <c r="R29" s="25" t="str">
        <f aca="false">IF(AND($A29+(-24)&gt;=1,$A29+(-24)&lt;=$B$8),INDEX($P$12:$P$59,$A29+(-24)),"")</f>
        <v/>
      </c>
      <c r="S29" s="25" t="str">
        <f aca="false">IF(AND($A29+(-12)&gt;=1,$A29+(-12)&lt;=$B$8),INDEX($P$12:$P$59,$A29+(-12)),"")</f>
        <v/>
      </c>
      <c r="T29" s="25" t="n">
        <f aca="false">IF(AND($A29+(0)&gt;=1,$A29+(0)&lt;=$B$8),INDEX($P$12:$P$59,$A29+(0)),"")</f>
        <v>0.951348146468574</v>
      </c>
      <c r="U29" s="25" t="n">
        <f aca="false">IF(AND($A29+(12)&gt;=1,$A29+(12)&lt;=$B$8),INDEX($P$12:$P$59,$A29+(12)),"")</f>
        <v>0.908290840956452</v>
      </c>
      <c r="V29" s="25" t="n">
        <f aca="false">IF(AND($A29+(24)&gt;=1,$A29+(24)&lt;=$B$8),INDEX($P$12:$P$59,$A29+(24)),"")</f>
        <v>0.924586342062583</v>
      </c>
      <c r="W29" s="25" t="str">
        <f aca="false">IF(AND($A29+(36)&gt;=1,$A29+(36)&lt;=$B$8),INDEX($P$12:$P$59,$A29+(36)),"")</f>
        <v/>
      </c>
      <c r="X29" s="25" t="n">
        <f aca="false">IF(SUMPRODUCT(Bobot_Filter!$B$43:$H$43,ISNUMBER(Q29:W29)*1)&gt;0,SUMPRODUCT(Bobot_Filter!$B$43:$H$43,Q29:W29)/SUMPRODUCT(Bobot_Filter!$B$43:$H$43,ISNUMBER(Q29:W29)*1),"")</f>
        <v>0.928511205800031</v>
      </c>
      <c r="Y29" s="25" t="n">
        <f aca="false">IF(AND($A29&gt;=$B$6,$A29&lt;=$B$7),SUMPRODUCT(Bobot_Filter!$B$4:$B$16,X23:X35),"")</f>
        <v>0.998876260705089</v>
      </c>
      <c r="Z29" s="33" t="n">
        <f aca="false">X29/INDEX($Y$12:$Y$59,MAX($B$6,MIN($A29,$B$7)))</f>
        <v>0.929555784161505</v>
      </c>
      <c r="AA29" s="27" t="n">
        <f aca="false">C29/Z29</f>
        <v>245.278447926248</v>
      </c>
      <c r="AB29" s="27" t="n">
        <f aca="false">IF(AND($A29&gt;=$B$6,$A29&lt;=$B$7),SUMPRODUCT(Bobot_Filter!$B$20:$B$32,AA23:AA35),"")</f>
        <v>239.390836658784</v>
      </c>
      <c r="AC29" s="25" t="n">
        <f aca="false">IF(ISNUMBER(AB29),AA29/AB29,"")</f>
        <v>1.02459413797803</v>
      </c>
      <c r="AD29" s="27" t="n">
        <f aca="false">$B$4+$B$3*A29</f>
        <v>240.583916643299</v>
      </c>
      <c r="AE29" s="27" t="n">
        <f aca="false">AD29*Z29</f>
        <v>223.636171292008</v>
      </c>
      <c r="AF29" s="28" t="n">
        <f aca="false">ABS(C29-AE29)/C29</f>
        <v>0.0191395995964571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Data!E23</f>
        <v>282</v>
      </c>
      <c r="D30" s="27" t="n">
        <f aca="false">IF(AND($A30&gt;=$B$6,$A30&lt;=$B$7),SUMPRODUCT(Bobot_Filter!$B$4:$B$16,C24:C36),"")</f>
        <v>242.375</v>
      </c>
      <c r="E30" s="25" t="n">
        <f aca="false">IF(ISNUMBER(D30),C30/D30,"")</f>
        <v>1.16348633316142</v>
      </c>
      <c r="F30" s="25" t="str">
        <f aca="false">IF(AND($A30+(-24)&gt;=1,$A30+(-24)&lt;=$B$8),INDEX($E$12:$E$59,$A30+(-24)),"")</f>
        <v/>
      </c>
      <c r="G30" s="25" t="n">
        <f aca="false">IF(AND($A30+(-12)&gt;=1,$A30+(-12)&lt;=$B$8),INDEX($E$12:$E$59,$A30+(-12)),"")</f>
        <v>1.1942008233399</v>
      </c>
      <c r="H30" s="25" t="n">
        <f aca="false">IF(AND($A30+(0)&gt;=1,$A30+(0)&lt;=$B$8),INDEX($E$12:$E$59,$A30+(0)),"")</f>
        <v>1.16348633316142</v>
      </c>
      <c r="I30" s="25" t="n">
        <f aca="false">IF(AND($A30+(12)&gt;=1,$A30+(12)&lt;=$B$8),INDEX($E$12:$E$59,$A30+(12)),"")</f>
        <v>1.12536633018561</v>
      </c>
      <c r="J30" s="25" t="str">
        <f aca="false">IF(AND($A30+(24)&gt;=1,$A30+(24)&lt;=$B$8),INDEX($E$12:$E$59,$A30+(24)),"")</f>
        <v/>
      </c>
      <c r="K30" s="25" t="n">
        <f aca="false">IF(SUMPRODUCT(Bobot_Filter!$B$38:$F$38,ISNUMBER(F30:J30)*1)&gt;0,SUMPRODUCT(Bobot_Filter!$B$38:$F$38,F30:J30)/SUMPRODUCT(Bobot_Filter!$B$38:$F$38,ISNUMBER(F30:J30)*1),"")</f>
        <v>1.16137047236218</v>
      </c>
      <c r="L30" s="25" t="n">
        <f aca="false">IF(AND($A30&gt;=$B$6,$A30&lt;=$B$7),SUMPRODUCT(Bobot_Filter!$B$4:$B$16,K24:K36),"")</f>
        <v>0.997010958713512</v>
      </c>
      <c r="M30" s="25" t="n">
        <f aca="false">K30/INDEX($L$12:$L$59,MAX($B$6,MIN($A30,$B$7)))</f>
        <v>1.16485226387155</v>
      </c>
      <c r="N30" s="27" t="n">
        <f aca="false">C30/M30</f>
        <v>242.090785884497</v>
      </c>
      <c r="O30" s="27" t="n">
        <f aca="false">IF(AND($A30&gt;=$B$6,$A30&lt;=$B$7),SUMPRODUCT(Bobot_Filter!$B$20:$B$32,N24:N36),"")</f>
        <v>242.932174142853</v>
      </c>
      <c r="P30" s="25" t="n">
        <f aca="false">IF(ISNUMBER(O30),C30/O30,"")</f>
        <v>1.16081783318736</v>
      </c>
      <c r="Q30" s="25" t="str">
        <f aca="false">IF(AND($A30+(-36)&gt;=1,$A30+(-36)&lt;=$B$8),INDEX($P$12:$P$59,$A30+(-36)),"")</f>
        <v/>
      </c>
      <c r="R30" s="25" t="str">
        <f aca="false">IF(AND($A30+(-24)&gt;=1,$A30+(-24)&lt;=$B$8),INDEX($P$12:$P$59,$A30+(-24)),"")</f>
        <v/>
      </c>
      <c r="S30" s="25" t="n">
        <f aca="false">IF(AND($A30+(-12)&gt;=1,$A30+(-12)&lt;=$B$8),INDEX($P$12:$P$59,$A30+(-12)),"")</f>
        <v>1.19852773157614</v>
      </c>
      <c r="T30" s="25" t="n">
        <f aca="false">IF(AND($A30+(0)&gt;=1,$A30+(0)&lt;=$B$8),INDEX($P$12:$P$59,$A30+(0)),"")</f>
        <v>1.16081783318736</v>
      </c>
      <c r="U30" s="25" t="n">
        <f aca="false">IF(AND($A30+(12)&gt;=1,$A30+(12)&lt;=$B$8),INDEX($P$12:$P$59,$A30+(12)),"")</f>
        <v>1.1098973391395</v>
      </c>
      <c r="V30" s="25" t="str">
        <f aca="false">IF(AND($A30+(24)&gt;=1,$A30+(24)&lt;=$B$8),INDEX($P$12:$P$59,$A30+(24)),"")</f>
        <v/>
      </c>
      <c r="W30" s="25" t="str">
        <f aca="false">IF(AND($A30+(36)&gt;=1,$A30+(36)&lt;=$B$8),INDEX($P$12:$P$59,$A30+(36)),"")</f>
        <v/>
      </c>
      <c r="X30" s="25" t="n">
        <f aca="false">IF(SUMPRODUCT(Bobot_Filter!$B$43:$H$43,ISNUMBER(Q30:W30)*1)&gt;0,SUMPRODUCT(Bobot_Filter!$B$43:$H$43,Q30:W30)/SUMPRODUCT(Bobot_Filter!$B$43:$H$43,ISNUMBER(Q30:W30)*1),"")</f>
        <v>1.156414301301</v>
      </c>
      <c r="Y30" s="25" t="n">
        <f aca="false">IF(AND($A30&gt;=$B$6,$A30&lt;=$B$7),SUMPRODUCT(Bobot_Filter!$B$4:$B$16,X24:X36),"")</f>
        <v>0.998754974969604</v>
      </c>
      <c r="Z30" s="33" t="n">
        <f aca="false">X30/INDEX($Y$12:$Y$59,MAX($B$6,MIN($A30,$B$7)))</f>
        <v>1.15785586082932</v>
      </c>
      <c r="AA30" s="27" t="n">
        <f aca="false">C30/Z30</f>
        <v>243.553631794907</v>
      </c>
      <c r="AB30" s="27" t="n">
        <f aca="false">IF(AND($A30&gt;=$B$6,$A30&lt;=$B$7),SUMPRODUCT(Bobot_Filter!$B$20:$B$32,AA24:AA36),"")</f>
        <v>243.174494592375</v>
      </c>
      <c r="AC30" s="25" t="n">
        <f aca="false">IF(ISNUMBER(AB30),AA30/AB30,"")</f>
        <v>1.00155911582408</v>
      </c>
      <c r="AD30" s="27" t="n">
        <f aca="false">$B$4+$B$3*A30</f>
        <v>241.433584210378</v>
      </c>
      <c r="AE30" s="27" t="n">
        <f aca="false">AD30*Z30</f>
        <v>279.545290479016</v>
      </c>
      <c r="AF30" s="28" t="n">
        <f aca="false">ABS(C30-AE30)/C30</f>
        <v>0.00870464369143166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Data!E24</f>
        <v>261</v>
      </c>
      <c r="D31" s="27" t="n">
        <f aca="false">IF(AND($A31&gt;=$B$6,$A31&lt;=$B$7),SUMPRODUCT(Bobot_Filter!$B$4:$B$16,C25:C37),"")</f>
        <v>243.458333333333</v>
      </c>
      <c r="E31" s="25" t="n">
        <f aca="false">IF(ISNUMBER(D31),C31/D31,"")</f>
        <v>1.07205202806777</v>
      </c>
      <c r="F31" s="25" t="str">
        <f aca="false">IF(AND($A31+(-24)&gt;=1,$A31+(-24)&lt;=$B$8),INDEX($E$12:$E$59,$A31+(-24)),"")</f>
        <v/>
      </c>
      <c r="G31" s="25" t="n">
        <f aca="false">IF(AND($A31+(-12)&gt;=1,$A31+(-12)&lt;=$B$8),INDEX($E$12:$E$59,$A31+(-12)),"")</f>
        <v>1.04981253347617</v>
      </c>
      <c r="H31" s="25" t="n">
        <f aca="false">IF(AND($A31+(0)&gt;=1,$A31+(0)&lt;=$B$8),INDEX($E$12:$E$59,$A31+(0)),"")</f>
        <v>1.07205202806777</v>
      </c>
      <c r="I31" s="25" t="n">
        <f aca="false">IF(AND($A31+(12)&gt;=1,$A31+(12)&lt;=$B$8),INDEX($E$12:$E$59,$A31+(12)),"")</f>
        <v>1.08379523964786</v>
      </c>
      <c r="J31" s="25" t="str">
        <f aca="false">IF(AND($A31+(24)&gt;=1,$A31+(24)&lt;=$B$8),INDEX($E$12:$E$59,$A31+(24)),"")</f>
        <v/>
      </c>
      <c r="K31" s="25" t="n">
        <f aca="false">IF(SUMPRODUCT(Bobot_Filter!$B$38:$F$38,ISNUMBER(F31:J31)*1)&gt;0,SUMPRODUCT(Bobot_Filter!$B$38:$F$38,F31:J31)/SUMPRODUCT(Bobot_Filter!$B$38:$F$38,ISNUMBER(F31:J31)*1),"")</f>
        <v>1.06905309006448</v>
      </c>
      <c r="L31" s="25" t="n">
        <f aca="false">IF(AND($A31&gt;=$B$6,$A31&lt;=$B$7),SUMPRODUCT(Bobot_Filter!$B$4:$B$16,K25:K37),"")</f>
        <v>0.996379500898576</v>
      </c>
      <c r="M31" s="25" t="n">
        <f aca="false">K31/INDEX($L$12:$L$59,MAX($B$6,MIN($A31,$B$7)))</f>
        <v>1.07293765989803</v>
      </c>
      <c r="N31" s="27" t="n">
        <f aca="false">C31/M31</f>
        <v>243.2573762252</v>
      </c>
      <c r="O31" s="27" t="n">
        <f aca="false">IF(AND($A31&gt;=$B$6,$A31&lt;=$B$7),SUMPRODUCT(Bobot_Filter!$B$20:$B$32,N25:N37),"")</f>
        <v>245.693418940408</v>
      </c>
      <c r="P31" s="25" t="n">
        <f aca="false">IF(ISNUMBER(O31),C31/O31,"")</f>
        <v>1.06229951589914</v>
      </c>
      <c r="Q31" s="25" t="str">
        <f aca="false">IF(AND($A31+(-36)&gt;=1,$A31+(-36)&lt;=$B$8),INDEX($P$12:$P$59,$A31+(-36)),"")</f>
        <v/>
      </c>
      <c r="R31" s="25" t="str">
        <f aca="false">IF(AND($A31+(-24)&gt;=1,$A31+(-24)&lt;=$B$8),INDEX($P$12:$P$59,$A31+(-24)),"")</f>
        <v/>
      </c>
      <c r="S31" s="25" t="n">
        <f aca="false">IF(AND($A31+(-12)&gt;=1,$A31+(-12)&lt;=$B$8),INDEX($P$12:$P$59,$A31+(-12)),"")</f>
        <v>1.07604715927674</v>
      </c>
      <c r="T31" s="25" t="n">
        <f aca="false">IF(AND($A31+(0)&gt;=1,$A31+(0)&lt;=$B$8),INDEX($P$12:$P$59,$A31+(0)),"")</f>
        <v>1.06229951589914</v>
      </c>
      <c r="U31" s="25" t="n">
        <f aca="false">IF(AND($A31+(12)&gt;=1,$A31+(12)&lt;=$B$8),INDEX($P$12:$P$59,$A31+(12)),"")</f>
        <v>1.07036828138002</v>
      </c>
      <c r="V31" s="25" t="str">
        <f aca="false">IF(AND($A31+(24)&gt;=1,$A31+(24)&lt;=$B$8),INDEX($P$12:$P$59,$A31+(24)),"")</f>
        <v/>
      </c>
      <c r="W31" s="25" t="str">
        <f aca="false">IF(AND($A31+(36)&gt;=1,$A31+(36)&lt;=$B$8),INDEX($P$12:$P$59,$A31+(36)),"")</f>
        <v/>
      </c>
      <c r="X31" s="25" t="n">
        <f aca="false">IF(SUMPRODUCT(Bobot_Filter!$B$43:$H$43,ISNUMBER(Q31:W31)*1)&gt;0,SUMPRODUCT(Bobot_Filter!$B$43:$H$43,Q31:W31)/SUMPRODUCT(Bobot_Filter!$B$43:$H$43,ISNUMBER(Q31:W31)*1),"")</f>
        <v>1.0695716521853</v>
      </c>
      <c r="Y31" s="25" t="n">
        <f aca="false">IF(AND($A31&gt;=$B$6,$A31&lt;=$B$7),SUMPRODUCT(Bobot_Filter!$B$4:$B$16,X25:X37),"")</f>
        <v>0.998692308169845</v>
      </c>
      <c r="Z31" s="33" t="n">
        <f aca="false">X31/INDEX($Y$12:$Y$59,MAX($B$6,MIN($A31,$B$7)))</f>
        <v>1.07097215372104</v>
      </c>
      <c r="AA31" s="27" t="n">
        <f aca="false">C31/Z31</f>
        <v>243.703815354272</v>
      </c>
      <c r="AB31" s="27" t="n">
        <f aca="false">IF(AND($A31&gt;=$B$6,$A31&lt;=$B$7),SUMPRODUCT(Bobot_Filter!$B$20:$B$32,AA25:AA37),"")</f>
        <v>246.260486650458</v>
      </c>
      <c r="AC31" s="25" t="n">
        <f aca="false">IF(ISNUMBER(AB31),AA31/AB31,"")</f>
        <v>0.989618020613209</v>
      </c>
      <c r="AD31" s="27" t="n">
        <f aca="false">$B$4+$B$3*A31</f>
        <v>242.283251777458</v>
      </c>
      <c r="AE31" s="27" t="n">
        <f aca="false">AD31*Z31</f>
        <v>259.478615966642</v>
      </c>
      <c r="AF31" s="28" t="n">
        <f aca="false">ABS(C31-AE31)/C31</f>
        <v>0.0058290575990739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Data!E25</f>
        <v>228</v>
      </c>
      <c r="D32" s="27" t="n">
        <f aca="false">IF(AND($A32&gt;=$B$6,$A32&lt;=$B$7),SUMPRODUCT(Bobot_Filter!$B$4:$B$16,C26:C38),"")</f>
        <v>244.458333333333</v>
      </c>
      <c r="E32" s="25" t="n">
        <f aca="false">IF(ISNUMBER(D32),C32/D32,"")</f>
        <v>0.932674279870462</v>
      </c>
      <c r="F32" s="25" t="str">
        <f aca="false">IF(AND($A32+(-24)&gt;=1,$A32+(-24)&lt;=$B$8),INDEX($E$12:$E$59,$A32+(-24)),"")</f>
        <v/>
      </c>
      <c r="G32" s="25" t="n">
        <f aca="false">IF(AND($A32+(-12)&gt;=1,$A32+(-12)&lt;=$B$8),INDEX($E$12:$E$59,$A32+(-12)),"")</f>
        <v>0.765911927259761</v>
      </c>
      <c r="H32" s="25" t="n">
        <f aca="false">IF(AND($A32+(0)&gt;=1,$A32+(0)&lt;=$B$8),INDEX($E$12:$E$59,$A32+(0)),"")</f>
        <v>0.932674279870462</v>
      </c>
      <c r="I32" s="25" t="n">
        <f aca="false">IF(AND($A32+(12)&gt;=1,$A32+(12)&lt;=$B$8),INDEX($E$12:$E$59,$A32+(12)),"")</f>
        <v>0.971755102040816</v>
      </c>
      <c r="J32" s="25" t="str">
        <f aca="false">IF(AND($A32+(24)&gt;=1,$A32+(24)&lt;=$B$8),INDEX($E$12:$E$59,$A32+(24)),"")</f>
        <v/>
      </c>
      <c r="K32" s="25" t="n">
        <f aca="false">IF(SUMPRODUCT(Bobot_Filter!$B$38:$F$38,ISNUMBER(F32:J32)*1)&gt;0,SUMPRODUCT(Bobot_Filter!$B$38:$F$38,F32:J32)/SUMPRODUCT(Bobot_Filter!$B$38:$F$38,ISNUMBER(F32:J32)*1),"")</f>
        <v>0.896193842601792</v>
      </c>
      <c r="L32" s="25" t="n">
        <f aca="false">IF(AND($A32&gt;=$B$6,$A32&lt;=$B$7),SUMPRODUCT(Bobot_Filter!$B$4:$B$16,K26:K38),"")</f>
        <v>0.995752046242811</v>
      </c>
      <c r="M32" s="25" t="n">
        <f aca="false">K32/INDEX($L$12:$L$59,MAX($B$6,MIN($A32,$B$7)))</f>
        <v>0.900017073510746</v>
      </c>
      <c r="N32" s="27" t="n">
        <f aca="false">C32/M32</f>
        <v>253.328527547403</v>
      </c>
      <c r="O32" s="27" t="n">
        <f aca="false">IF(AND($A32&gt;=$B$6,$A32&lt;=$B$7),SUMPRODUCT(Bobot_Filter!$B$20:$B$32,N26:N38),"")</f>
        <v>247.494884787663</v>
      </c>
      <c r="P32" s="25" t="n">
        <f aca="false">IF(ISNUMBER(O32),C32/O32,"")</f>
        <v>0.921231160779794</v>
      </c>
      <c r="Q32" s="25" t="str">
        <f aca="false">IF(AND($A32+(-36)&gt;=1,$A32+(-36)&lt;=$B$8),INDEX($P$12:$P$59,$A32+(-36)),"")</f>
        <v/>
      </c>
      <c r="R32" s="25" t="str">
        <f aca="false">IF(AND($A32+(-24)&gt;=1,$A32+(-24)&lt;=$B$8),INDEX($P$12:$P$59,$A32+(-24)),"")</f>
        <v/>
      </c>
      <c r="S32" s="25" t="n">
        <f aca="false">IF(AND($A32+(-12)&gt;=1,$A32+(-12)&lt;=$B$8),INDEX($P$12:$P$59,$A32+(-12)),"")</f>
        <v>0.79418253442518</v>
      </c>
      <c r="T32" s="25" t="n">
        <f aca="false">IF(AND($A32+(0)&gt;=1,$A32+(0)&lt;=$B$8),INDEX($P$12:$P$59,$A32+(0)),"")</f>
        <v>0.921231160779794</v>
      </c>
      <c r="U32" s="25" t="n">
        <f aca="false">IF(AND($A32+(12)&gt;=1,$A32+(12)&lt;=$B$8),INDEX($P$12:$P$59,$A32+(12)),"")</f>
        <v>0.962654923426868</v>
      </c>
      <c r="V32" s="25" t="str">
        <f aca="false">IF(AND($A32+(24)&gt;=1,$A32+(24)&lt;=$B$8),INDEX($P$12:$P$59,$A32+(24)),"")</f>
        <v/>
      </c>
      <c r="W32" s="25" t="str">
        <f aca="false">IF(AND($A32+(36)&gt;=1,$A32+(36)&lt;=$B$8),INDEX($P$12:$P$59,$A32+(36)),"")</f>
        <v/>
      </c>
      <c r="X32" s="25" t="n">
        <f aca="false">IF(SUMPRODUCT(Bobot_Filter!$B$43:$H$43,ISNUMBER(Q32:W32)*1)&gt;0,SUMPRODUCT(Bobot_Filter!$B$43:$H$43,Q32:W32)/SUMPRODUCT(Bobot_Filter!$B$43:$H$43,ISNUMBER(Q32:W32)*1),"")</f>
        <v>0.892689539543947</v>
      </c>
      <c r="Y32" s="25" t="n">
        <f aca="false">IF(AND($A32&gt;=$B$6,$A32&lt;=$B$7),SUMPRODUCT(Bobot_Filter!$B$4:$B$16,X26:X38),"")</f>
        <v>0.998628004450845</v>
      </c>
      <c r="Z32" s="33" t="n">
        <f aca="false">X32/INDEX($Y$12:$Y$59,MAX($B$6,MIN($A32,$B$7)))</f>
        <v>0.893915988301215</v>
      </c>
      <c r="AA32" s="27" t="n">
        <f aca="false">C32/Z32</f>
        <v>255.057525521261</v>
      </c>
      <c r="AB32" s="27" t="n">
        <f aca="false">IF(AND($A32&gt;=$B$6,$A32&lt;=$B$7),SUMPRODUCT(Bobot_Filter!$B$20:$B$32,AA26:AA38),"")</f>
        <v>248.005853214849</v>
      </c>
      <c r="AC32" s="25" t="n">
        <f aca="false">IF(ISNUMBER(AB32),AA32/AB32,"")</f>
        <v>1.02843349144789</v>
      </c>
      <c r="AD32" s="27" t="n">
        <f aca="false">$B$4+$B$3*A32</f>
        <v>243.132919344538</v>
      </c>
      <c r="AE32" s="27" t="n">
        <f aca="false">AD32*Z32</f>
        <v>217.340403884432</v>
      </c>
      <c r="AF32" s="28" t="n">
        <f aca="false">ABS(C32-AE32)/C32</f>
        <v>0.0467526145419653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Data!E26</f>
        <v>256</v>
      </c>
      <c r="D33" s="27" t="n">
        <f aca="false">IF(AND($A33&gt;=$B$6,$A33&lt;=$B$7),SUMPRODUCT(Bobot_Filter!$B$4:$B$16,C27:C39),"")</f>
        <v>246.083333333333</v>
      </c>
      <c r="E33" s="25" t="n">
        <f aca="false">IF(ISNUMBER(D33),C33/D33,"")</f>
        <v>1.04029800203183</v>
      </c>
      <c r="F33" s="25" t="str">
        <f aca="false">IF(AND($A33+(-24)&gt;=1,$A33+(-24)&lt;=$B$8),INDEX($E$12:$E$59,$A33+(-24)),"")</f>
        <v/>
      </c>
      <c r="G33" s="25" t="n">
        <f aca="false">IF(AND($A33+(-12)&gt;=1,$A33+(-12)&lt;=$B$8),INDEX($E$12:$E$59,$A33+(-12)),"")</f>
        <v>0.953670705630791</v>
      </c>
      <c r="H33" s="25" t="n">
        <f aca="false">IF(AND($A33+(0)&gt;=1,$A33+(0)&lt;=$B$8),INDEX($E$12:$E$59,$A33+(0)),"")</f>
        <v>1.04029800203183</v>
      </c>
      <c r="I33" s="25" t="n">
        <f aca="false">IF(AND($A33+(12)&gt;=1,$A33+(12)&lt;=$B$8),INDEX($E$12:$E$59,$A33+(12)),"")</f>
        <v>1.09929658105676</v>
      </c>
      <c r="J33" s="25" t="str">
        <f aca="false">IF(AND($A33+(24)&gt;=1,$A33+(24)&lt;=$B$8),INDEX($E$12:$E$59,$A33+(24)),"")</f>
        <v/>
      </c>
      <c r="K33" s="25" t="n">
        <f aca="false">IF(SUMPRODUCT(Bobot_Filter!$B$38:$F$38,ISNUMBER(F33:J33)*1)&gt;0,SUMPRODUCT(Bobot_Filter!$B$38:$F$38,F33:J33)/SUMPRODUCT(Bobot_Filter!$B$38:$F$38,ISNUMBER(F33:J33)*1),"")</f>
        <v>1.03240408278152</v>
      </c>
      <c r="L33" s="25" t="n">
        <f aca="false">IF(AND($A33&gt;=$B$6,$A33&lt;=$B$7),SUMPRODUCT(Bobot_Filter!$B$4:$B$16,K27:K39),"")</f>
        <v>0.995809133118463</v>
      </c>
      <c r="M33" s="25" t="n">
        <f aca="false">K33/INDEX($L$12:$L$59,MAX($B$6,MIN($A33,$B$7)))</f>
        <v>1.03674895966103</v>
      </c>
      <c r="N33" s="27" t="n">
        <f aca="false">C33/M33</f>
        <v>246.925736085331</v>
      </c>
      <c r="O33" s="27" t="n">
        <f aca="false">IF(AND($A33&gt;=$B$6,$A33&lt;=$B$7),SUMPRODUCT(Bobot_Filter!$B$20:$B$32,N27:N39),"")</f>
        <v>247.956649411084</v>
      </c>
      <c r="P33" s="25" t="n">
        <f aca="false">IF(ISNUMBER(O33),C33/O33,"")</f>
        <v>1.03243853555861</v>
      </c>
      <c r="Q33" s="25" t="str">
        <f aca="false">IF(AND($A33+(-36)&gt;=1,$A33+(-36)&lt;=$B$8),INDEX($P$12:$P$59,$A33+(-36)),"")</f>
        <v/>
      </c>
      <c r="R33" s="25" t="str">
        <f aca="false">IF(AND($A33+(-24)&gt;=1,$A33+(-24)&lt;=$B$8),INDEX($P$12:$P$59,$A33+(-24)),"")</f>
        <v/>
      </c>
      <c r="S33" s="25" t="n">
        <f aca="false">IF(AND($A33+(-12)&gt;=1,$A33+(-12)&lt;=$B$8),INDEX($P$12:$P$59,$A33+(-12)),"")</f>
        <v>0.985456752932791</v>
      </c>
      <c r="T33" s="25" t="n">
        <f aca="false">IF(AND($A33+(0)&gt;=1,$A33+(0)&lt;=$B$8),INDEX($P$12:$P$59,$A33+(0)),"")</f>
        <v>1.03243853555861</v>
      </c>
      <c r="U33" s="25" t="n">
        <f aca="false">IF(AND($A33+(12)&gt;=1,$A33+(12)&lt;=$B$8),INDEX($P$12:$P$59,$A33+(12)),"")</f>
        <v>1.09424567043344</v>
      </c>
      <c r="V33" s="25" t="str">
        <f aca="false">IF(AND($A33+(24)&gt;=1,$A33+(24)&lt;=$B$8),INDEX($P$12:$P$59,$A33+(24)),"")</f>
        <v/>
      </c>
      <c r="W33" s="25" t="str">
        <f aca="false">IF(AND($A33+(36)&gt;=1,$A33+(36)&lt;=$B$8),INDEX($P$12:$P$59,$A33+(36)),"")</f>
        <v/>
      </c>
      <c r="X33" s="25" t="n">
        <f aca="false">IF(SUMPRODUCT(Bobot_Filter!$B$43:$H$43,ISNUMBER(Q33:W33)*1)&gt;0,SUMPRODUCT(Bobot_Filter!$B$43:$H$43,Q33:W33)/SUMPRODUCT(Bobot_Filter!$B$43:$H$43,ISNUMBER(Q33:W33)*1),"")</f>
        <v>1.03738031964162</v>
      </c>
      <c r="Y33" s="25" t="n">
        <f aca="false">IF(AND($A33&gt;=$B$6,$A33&lt;=$B$7),SUMPRODUCT(Bobot_Filter!$B$4:$B$16,X27:X39),"")</f>
        <v>0.998624769036797</v>
      </c>
      <c r="Z33" s="33" t="n">
        <f aca="false">X33/INDEX($Y$12:$Y$59,MAX($B$6,MIN($A33,$B$7)))</f>
        <v>1.03880892183578</v>
      </c>
      <c r="AA33" s="27" t="n">
        <f aca="false">C33/Z33</f>
        <v>246.436081380201</v>
      </c>
      <c r="AB33" s="27" t="n">
        <f aca="false">IF(AND($A33&gt;=$B$6,$A33&lt;=$B$7),SUMPRODUCT(Bobot_Filter!$B$20:$B$32,AA27:AA39),"")</f>
        <v>248.051855070402</v>
      </c>
      <c r="AC33" s="25" t="n">
        <f aca="false">IF(ISNUMBER(AB33),AA33/AB33,"")</f>
        <v>0.993486145508801</v>
      </c>
      <c r="AD33" s="27" t="n">
        <f aca="false">$B$4+$B$3*A33</f>
        <v>243.982586911617</v>
      </c>
      <c r="AE33" s="27" t="n">
        <f aca="false">AD33*Z33</f>
        <v>253.45128805636</v>
      </c>
      <c r="AF33" s="28" t="n">
        <f aca="false">ABS(C33-AE33)/C33</f>
        <v>0.00995590602984187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Data!E27</f>
        <v>311</v>
      </c>
      <c r="D34" s="27" t="n">
        <f aca="false">IF(AND($A34&gt;=$B$6,$A34&lt;=$B$7),SUMPRODUCT(Bobot_Filter!$B$4:$B$16,C28:C40),"")</f>
        <v>249</v>
      </c>
      <c r="E34" s="25" t="n">
        <f aca="false">IF(ISNUMBER(D34),C34/D34,"")</f>
        <v>1.24899598393574</v>
      </c>
      <c r="F34" s="25" t="str">
        <f aca="false">IF(AND($A34+(-24)&gt;=1,$A34+(-24)&lt;=$B$8),INDEX($E$12:$E$59,$A34+(-24)),"")</f>
        <v/>
      </c>
      <c r="G34" s="25" t="n">
        <f aca="false">IF(AND($A34+(-12)&gt;=1,$A34+(-12)&lt;=$B$8),INDEX($E$12:$E$59,$A34+(-12)),"")</f>
        <v>1.25571428571429</v>
      </c>
      <c r="H34" s="25" t="n">
        <f aca="false">IF(AND($A34+(0)&gt;=1,$A34+(0)&lt;=$B$8),INDEX($E$12:$E$59,$A34+(0)),"")</f>
        <v>1.24899598393574</v>
      </c>
      <c r="I34" s="25" t="n">
        <f aca="false">IF(AND($A34+(12)&gt;=1,$A34+(12)&lt;=$B$8),INDEX($E$12:$E$59,$A34+(12)),"")</f>
        <v>1.15505913272011</v>
      </c>
      <c r="J34" s="25" t="str">
        <f aca="false">IF(AND($A34+(24)&gt;=1,$A34+(24)&lt;=$B$8),INDEX($E$12:$E$59,$A34+(24)),"")</f>
        <v/>
      </c>
      <c r="K34" s="25" t="n">
        <f aca="false">IF(SUMPRODUCT(Bobot_Filter!$B$38:$F$38,ISNUMBER(F34:J34)*1)&gt;0,SUMPRODUCT(Bobot_Filter!$B$38:$F$38,F34:J34)/SUMPRODUCT(Bobot_Filter!$B$38:$F$38,ISNUMBER(F34:J34)*1),"")</f>
        <v>1.22407639838229</v>
      </c>
      <c r="L34" s="25" t="n">
        <f aca="false">IF(AND($A34&gt;=$B$6,$A34&lt;=$B$7),SUMPRODUCT(Bobot_Filter!$B$4:$B$16,K28:K40),"")</f>
        <v>0.996826326448589</v>
      </c>
      <c r="M34" s="25" t="n">
        <f aca="false">K34/INDEX($L$12:$L$59,MAX($B$6,MIN($A34,$B$7)))</f>
        <v>1.22797358567297</v>
      </c>
      <c r="N34" s="27" t="n">
        <f aca="false">C34/M34</f>
        <v>253.262776682254</v>
      </c>
      <c r="O34" s="27" t="n">
        <f aca="false">IF(AND($A34&gt;=$B$6,$A34&lt;=$B$7),SUMPRODUCT(Bobot_Filter!$B$20:$B$32,N28:N40),"")</f>
        <v>247.467768557446</v>
      </c>
      <c r="P34" s="25" t="n">
        <f aca="false">IF(ISNUMBER(O34),C34/O34,"")</f>
        <v>1.25672931797502</v>
      </c>
      <c r="Q34" s="25" t="str">
        <f aca="false">IF(AND($A34+(-36)&gt;=1,$A34+(-36)&lt;=$B$8),INDEX($P$12:$P$59,$A34+(-36)),"")</f>
        <v/>
      </c>
      <c r="R34" s="25" t="str">
        <f aca="false">IF(AND($A34+(-24)&gt;=1,$A34+(-24)&lt;=$B$8),INDEX($P$12:$P$59,$A34+(-24)),"")</f>
        <v/>
      </c>
      <c r="S34" s="25" t="n">
        <f aca="false">IF(AND($A34+(-12)&gt;=1,$A34+(-12)&lt;=$B$8),INDEX($P$12:$P$59,$A34+(-12)),"")</f>
        <v>1.27496427834508</v>
      </c>
      <c r="T34" s="25" t="n">
        <f aca="false">IF(AND($A34+(0)&gt;=1,$A34+(0)&lt;=$B$8),INDEX($P$12:$P$59,$A34+(0)),"")</f>
        <v>1.25672931797502</v>
      </c>
      <c r="U34" s="25" t="n">
        <f aca="false">IF(AND($A34+(12)&gt;=1,$A34+(12)&lt;=$B$8),INDEX($P$12:$P$59,$A34+(12)),"")</f>
        <v>1.15454898071211</v>
      </c>
      <c r="V34" s="25" t="str">
        <f aca="false">IF(AND($A34+(24)&gt;=1,$A34+(24)&lt;=$B$8),INDEX($P$12:$P$59,$A34+(24)),"")</f>
        <v/>
      </c>
      <c r="W34" s="25" t="str">
        <f aca="false">IF(AND($A34+(36)&gt;=1,$A34+(36)&lt;=$B$8),INDEX($P$12:$P$59,$A34+(36)),"")</f>
        <v/>
      </c>
      <c r="X34" s="25" t="n">
        <f aca="false">IF(SUMPRODUCT(Bobot_Filter!$B$43:$H$43,ISNUMBER(Q34:W34)*1)&gt;0,SUMPRODUCT(Bobot_Filter!$B$43:$H$43,Q34:W34)/SUMPRODUCT(Bobot_Filter!$B$43:$H$43,ISNUMBER(Q34:W34)*1),"")</f>
        <v>1.2287475256774</v>
      </c>
      <c r="Y34" s="25" t="n">
        <f aca="false">IF(AND($A34&gt;=$B$6,$A34&lt;=$B$7),SUMPRODUCT(Bobot_Filter!$B$4:$B$16,X28:X40),"")</f>
        <v>0.998635913205025</v>
      </c>
      <c r="Z34" s="33" t="n">
        <f aca="false">X34/INDEX($Y$12:$Y$59,MAX($B$6,MIN($A34,$B$7)))</f>
        <v>1.23042593344541</v>
      </c>
      <c r="AA34" s="27" t="n">
        <f aca="false">C34/Z34</f>
        <v>252.758001555726</v>
      </c>
      <c r="AB34" s="27" t="n">
        <f aca="false">IF(AND($A34&gt;=$B$6,$A34&lt;=$B$7),SUMPRODUCT(Bobot_Filter!$B$20:$B$32,AA28:AA40),"")</f>
        <v>247.010280366293</v>
      </c>
      <c r="AC34" s="25" t="n">
        <f aca="false">IF(ISNUMBER(AB34),AA34/AB34,"")</f>
        <v>1.02326915778934</v>
      </c>
      <c r="AD34" s="27" t="n">
        <f aca="false">$B$4+$B$3*A34</f>
        <v>244.832254478697</v>
      </c>
      <c r="AE34" s="27" t="n">
        <f aca="false">AD34*Z34</f>
        <v>301.247955254494</v>
      </c>
      <c r="AF34" s="28" t="n">
        <f aca="false">ABS(C34-AE34)/C34</f>
        <v>0.0313570570595035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Data!E28</f>
        <v>231</v>
      </c>
      <c r="D35" s="27" t="n">
        <f aca="false">IF(AND($A35&gt;=$B$6,$A35&lt;=$B$7),SUMPRODUCT(Bobot_Filter!$B$4:$B$16,C29:C41),"")</f>
        <v>250.75</v>
      </c>
      <c r="E35" s="25" t="n">
        <f aca="false">IF(ISNUMBER(D35),C35/D35,"")</f>
        <v>0.92123629112662</v>
      </c>
      <c r="F35" s="25" t="str">
        <f aca="false">IF(AND($A35+(-24)&gt;=1,$A35+(-24)&lt;=$B$8),INDEX($E$12:$E$59,$A35+(-24)),"")</f>
        <v/>
      </c>
      <c r="G35" s="25" t="n">
        <f aca="false">IF(AND($A35+(-12)&gt;=1,$A35+(-12)&lt;=$B$8),INDEX($E$12:$E$59,$A35+(-12)),"")</f>
        <v>1.03488996242619</v>
      </c>
      <c r="H35" s="25" t="n">
        <f aca="false">IF(AND($A35+(0)&gt;=1,$A35+(0)&lt;=$B$8),INDEX($E$12:$E$59,$A35+(0)),"")</f>
        <v>0.92123629112662</v>
      </c>
      <c r="I35" s="25" t="n">
        <f aca="false">IF(AND($A35+(12)&gt;=1,$A35+(12)&lt;=$B$8),INDEX($E$12:$E$59,$A35+(12)),"")</f>
        <v>0.951785420437716</v>
      </c>
      <c r="J35" s="25" t="str">
        <f aca="false">IF(AND($A35+(24)&gt;=1,$A35+(24)&lt;=$B$8),INDEX($E$12:$E$59,$A35+(24)),"")</f>
        <v/>
      </c>
      <c r="K35" s="25" t="n">
        <f aca="false">IF(SUMPRODUCT(Bobot_Filter!$B$38:$F$38,ISNUMBER(F35:J35)*1)&gt;0,SUMPRODUCT(Bobot_Filter!$B$38:$F$38,F35:J35)/SUMPRODUCT(Bobot_Filter!$B$38:$F$38,ISNUMBER(F35:J35)*1),"")</f>
        <v>0.962437091301097</v>
      </c>
      <c r="L35" s="25" t="n">
        <f aca="false">IF(AND($A35&gt;=$B$6,$A35&lt;=$B$7),SUMPRODUCT(Bobot_Filter!$B$4:$B$16,K29:K41),"")</f>
        <v>0.997170717010496</v>
      </c>
      <c r="M35" s="25" t="n">
        <f aca="false">K35/INDEX($L$12:$L$59,MAX($B$6,MIN($A35,$B$7)))</f>
        <v>0.965167824208146</v>
      </c>
      <c r="N35" s="27" t="n">
        <f aca="false">C35/M35</f>
        <v>239.336615048807</v>
      </c>
      <c r="O35" s="27" t="n">
        <f aca="false">IF(AND($A35&gt;=$B$6,$A35&lt;=$B$7),SUMPRODUCT(Bobot_Filter!$B$20:$B$32,N29:N41),"")</f>
        <v>247.739639672745</v>
      </c>
      <c r="P35" s="25" t="n">
        <f aca="false">IF(ISNUMBER(O35),C35/O35,"")</f>
        <v>0.932430515783195</v>
      </c>
      <c r="Q35" s="25" t="str">
        <f aca="false">IF(AND($A35+(-36)&gt;=1,$A35+(-36)&lt;=$B$8),INDEX($P$12:$P$59,$A35+(-36)),"")</f>
        <v/>
      </c>
      <c r="R35" s="25" t="str">
        <f aca="false">IF(AND($A35+(-24)&gt;=1,$A35+(-24)&lt;=$B$8),INDEX($P$12:$P$59,$A35+(-24)),"")</f>
        <v/>
      </c>
      <c r="S35" s="25" t="n">
        <f aca="false">IF(AND($A35+(-12)&gt;=1,$A35+(-12)&lt;=$B$8),INDEX($P$12:$P$59,$A35+(-12)),"")</f>
        <v>1.02916637856054</v>
      </c>
      <c r="T35" s="25" t="n">
        <f aca="false">IF(AND($A35+(0)&gt;=1,$A35+(0)&lt;=$B$8),INDEX($P$12:$P$59,$A35+(0)),"")</f>
        <v>0.932430515783195</v>
      </c>
      <c r="U35" s="25" t="n">
        <f aca="false">IF(AND($A35+(12)&gt;=1,$A35+(12)&lt;=$B$8),INDEX($P$12:$P$59,$A35+(12)),"")</f>
        <v>0.958862330317284</v>
      </c>
      <c r="V35" s="25" t="str">
        <f aca="false">IF(AND($A35+(24)&gt;=1,$A35+(24)&lt;=$B$8),INDEX($P$12:$P$59,$A35+(24)),"")</f>
        <v/>
      </c>
      <c r="W35" s="25" t="str">
        <f aca="false">IF(AND($A35+(36)&gt;=1,$A35+(36)&lt;=$B$8),INDEX($P$12:$P$59,$A35+(36)),"")</f>
        <v/>
      </c>
      <c r="X35" s="25" t="n">
        <f aca="false">IF(SUMPRODUCT(Bobot_Filter!$B$43:$H$43,ISNUMBER(Q35:W35)*1)&gt;0,SUMPRODUCT(Bobot_Filter!$B$43:$H$43,Q35:W35)/SUMPRODUCT(Bobot_Filter!$B$43:$H$43,ISNUMBER(Q35:W35)*1),"")</f>
        <v>0.97348640822034</v>
      </c>
      <c r="Y35" s="25" t="n">
        <f aca="false">IF(AND($A35&gt;=$B$6,$A35&lt;=$B$7),SUMPRODUCT(Bobot_Filter!$B$4:$B$16,X29:X41),"")</f>
        <v>0.998585366539537</v>
      </c>
      <c r="Z35" s="33" t="n">
        <f aca="false">X35/INDEX($Y$12:$Y$59,MAX($B$6,MIN($A35,$B$7)))</f>
        <v>0.974865485555658</v>
      </c>
      <c r="AA35" s="27" t="n">
        <f aca="false">C35/Z35</f>
        <v>236.955768177939</v>
      </c>
      <c r="AB35" s="27" t="n">
        <f aca="false">IF(AND($A35&gt;=$B$6,$A35&lt;=$B$7),SUMPRODUCT(Bobot_Filter!$B$20:$B$32,AA29:AA41),"")</f>
        <v>246.951614820867</v>
      </c>
      <c r="AC35" s="25" t="n">
        <f aca="false">IF(ISNUMBER(AB35),AA35/AB35,"")</f>
        <v>0.95952305616556</v>
      </c>
      <c r="AD35" s="27" t="n">
        <f aca="false">$B$4+$B$3*A35</f>
        <v>245.681922045776</v>
      </c>
      <c r="AE35" s="27" t="n">
        <f aca="false">AD35*Z35</f>
        <v>239.506826227403</v>
      </c>
      <c r="AF35" s="28" t="n">
        <f aca="false">ABS(C35-AE35)/C35</f>
        <v>0.0368260875645149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Data!E29</f>
        <v>233</v>
      </c>
      <c r="D36" s="27" t="n">
        <f aca="false">IF(AND($A36&gt;=$B$6,$A36&lt;=$B$7),SUMPRODUCT(Bobot_Filter!$B$4:$B$16,C30:C42),"")</f>
        <v>251.333333333333</v>
      </c>
      <c r="E36" s="25" t="n">
        <f aca="false">IF(ISNUMBER(D36),C36/D36,"")</f>
        <v>0.927055702917772</v>
      </c>
      <c r="F36" s="25" t="str">
        <f aca="false">IF(AND($A36+(-24)&gt;=1,$A36+(-24)&lt;=$B$8),INDEX($E$12:$E$59,$A36+(-24)),"")</f>
        <v/>
      </c>
      <c r="G36" s="25" t="n">
        <f aca="false">IF(AND($A36+(-12)&gt;=1,$A36+(-12)&lt;=$B$8),INDEX($E$12:$E$59,$A36+(-12)),"")</f>
        <v>0.977841315225161</v>
      </c>
      <c r="H36" s="25" t="n">
        <f aca="false">IF(AND($A36+(0)&gt;=1,$A36+(0)&lt;=$B$8),INDEX($E$12:$E$59,$A36+(0)),"")</f>
        <v>0.927055702917772</v>
      </c>
      <c r="I36" s="25" t="n">
        <f aca="false">IF(AND($A36+(12)&gt;=1,$A36+(12)&lt;=$B$8),INDEX($E$12:$E$59,$A36+(12)),"")</f>
        <v>0.917925147734734</v>
      </c>
      <c r="J36" s="25" t="str">
        <f aca="false">IF(AND($A36+(24)&gt;=1,$A36+(24)&lt;=$B$8),INDEX($E$12:$E$59,$A36+(24)),"")</f>
        <v/>
      </c>
      <c r="K36" s="25" t="n">
        <f aca="false">IF(SUMPRODUCT(Bobot_Filter!$B$38:$F$38,ISNUMBER(F36:J36)*1)&gt;0,SUMPRODUCT(Bobot_Filter!$B$38:$F$38,F36:J36)/SUMPRODUCT(Bobot_Filter!$B$38:$F$38,ISNUMBER(F36:J36)*1),"")</f>
        <v>0.938957147810444</v>
      </c>
      <c r="L36" s="25" t="n">
        <f aca="false">IF(AND($A36&gt;=$B$6,$A36&lt;=$B$7),SUMPRODUCT(Bobot_Filter!$B$4:$B$16,K30:K42),"")</f>
        <v>0.996557020586743</v>
      </c>
      <c r="M36" s="25" t="n">
        <f aca="false">K36/INDEX($L$12:$L$59,MAX($B$6,MIN($A36,$B$7)))</f>
        <v>0.942201126893486</v>
      </c>
      <c r="N36" s="27" t="n">
        <f aca="false">C36/M36</f>
        <v>247.293272475931</v>
      </c>
      <c r="O36" s="27" t="n">
        <f aca="false">IF(AND($A36&gt;=$B$6,$A36&lt;=$B$7),SUMPRODUCT(Bobot_Filter!$B$20:$B$32,N30:N42),"")</f>
        <v>249.604250009275</v>
      </c>
      <c r="P36" s="25" t="n">
        <f aca="false">IF(ISNUMBER(O36),C36/O36,"")</f>
        <v>0.933477695156803</v>
      </c>
      <c r="Q36" s="25" t="str">
        <f aca="false">IF(AND($A36+(-36)&gt;=1,$A36+(-36)&lt;=$B$8),INDEX($P$12:$P$59,$A36+(-36)),"")</f>
        <v/>
      </c>
      <c r="R36" s="25" t="str">
        <f aca="false">IF(AND($A36+(-24)&gt;=1,$A36+(-24)&lt;=$B$8),INDEX($P$12:$P$59,$A36+(-24)),"")</f>
        <v/>
      </c>
      <c r="S36" s="25" t="n">
        <f aca="false">IF(AND($A36+(-12)&gt;=1,$A36+(-12)&lt;=$B$8),INDEX($P$12:$P$59,$A36+(-12)),"")</f>
        <v>0.961423569461243</v>
      </c>
      <c r="T36" s="25" t="n">
        <f aca="false">IF(AND($A36+(0)&gt;=1,$A36+(0)&lt;=$B$8),INDEX($P$12:$P$59,$A36+(0)),"")</f>
        <v>0.933477695156803</v>
      </c>
      <c r="U36" s="25" t="n">
        <f aca="false">IF(AND($A36+(12)&gt;=1,$A36+(12)&lt;=$B$8),INDEX($P$12:$P$59,$A36+(12)),"")</f>
        <v>0.934456457344108</v>
      </c>
      <c r="V36" s="25" t="str">
        <f aca="false">IF(AND($A36+(24)&gt;=1,$A36+(24)&lt;=$B$8),INDEX($P$12:$P$59,$A36+(24)),"")</f>
        <v/>
      </c>
      <c r="W36" s="25" t="str">
        <f aca="false">IF(AND($A36+(36)&gt;=1,$A36+(36)&lt;=$B$8),INDEX($P$12:$P$59,$A36+(36)),"")</f>
        <v/>
      </c>
      <c r="X36" s="25" t="n">
        <f aca="false">IF(SUMPRODUCT(Bobot_Filter!$B$43:$H$43,ISNUMBER(Q36:W36)*1)&gt;0,SUMPRODUCT(Bobot_Filter!$B$43:$H$43,Q36:W36)/SUMPRODUCT(Bobot_Filter!$B$43:$H$43,ISNUMBER(Q36:W36)*1),"")</f>
        <v>0.943119240654051</v>
      </c>
      <c r="Y36" s="25" t="n">
        <f aca="false">IF(AND($A36&gt;=$B$6,$A36&lt;=$B$7),SUMPRODUCT(Bobot_Filter!$B$4:$B$16,X30:X42),"")</f>
        <v>0.998347855091403</v>
      </c>
      <c r="Z36" s="33" t="n">
        <f aca="false">X36/INDEX($Y$12:$Y$59,MAX($B$6,MIN($A36,$B$7)))</f>
        <v>0.944679988887946</v>
      </c>
      <c r="AA36" s="27" t="n">
        <f aca="false">C36/Z36</f>
        <v>246.644369247497</v>
      </c>
      <c r="AB36" s="27" t="n">
        <f aca="false">IF(AND($A36&gt;=$B$6,$A36&lt;=$B$7),SUMPRODUCT(Bobot_Filter!$B$20:$B$32,AA30:AA42),"")</f>
        <v>248.80080674144</v>
      </c>
      <c r="AC36" s="25" t="n">
        <f aca="false">IF(ISNUMBER(AB36),AA36/AB36,"")</f>
        <v>0.991332674832588</v>
      </c>
      <c r="AD36" s="27" t="n">
        <f aca="false">$B$4+$B$3*A36</f>
        <v>246.531589612856</v>
      </c>
      <c r="AE36" s="27" t="n">
        <f aca="false">AD36*Z36</f>
        <v>232.893459336</v>
      </c>
      <c r="AF36" s="28" t="n">
        <f aca="false">ABS(C36-AE36)/C36</f>
        <v>0.000457256068668036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Data!E30</f>
        <v>266</v>
      </c>
      <c r="D37" s="27" t="n">
        <f aca="false">IF(AND($A37&gt;=$B$6,$A37&lt;=$B$7),SUMPRODUCT(Bobot_Filter!$B$4:$B$16,C31:C43),"")</f>
        <v>252.25</v>
      </c>
      <c r="E37" s="25" t="n">
        <f aca="false">IF(ISNUMBER(D37),C37/D37,"")</f>
        <v>1.05450941526264</v>
      </c>
      <c r="F37" s="25" t="str">
        <f aca="false">IF(AND($A37+(-24)&gt;=1,$A37+(-24)&lt;=$B$8),INDEX($E$12:$E$59,$A37+(-24)),"")</f>
        <v/>
      </c>
      <c r="G37" s="25" t="n">
        <f aca="false">IF(AND($A37+(-12)&gt;=1,$A37+(-12)&lt;=$B$8),INDEX($E$12:$E$59,$A37+(-12)),"")</f>
        <v>1.04700854700855</v>
      </c>
      <c r="H37" s="25" t="n">
        <f aca="false">IF(AND($A37+(0)&gt;=1,$A37+(0)&lt;=$B$8),INDEX($E$12:$E$59,$A37+(0)),"")</f>
        <v>1.05450941526264</v>
      </c>
      <c r="I37" s="25" t="n">
        <f aca="false">IF(AND($A37+(12)&gt;=1,$A37+(12)&lt;=$B$8),INDEX($E$12:$E$59,$A37+(12)),"")</f>
        <v>1.01425061425061</v>
      </c>
      <c r="J37" s="25" t="str">
        <f aca="false">IF(AND($A37+(24)&gt;=1,$A37+(24)&lt;=$B$8),INDEX($E$12:$E$59,$A37+(24)),"")</f>
        <v/>
      </c>
      <c r="K37" s="25" t="n">
        <f aca="false">IF(SUMPRODUCT(Bobot_Filter!$B$38:$F$38,ISNUMBER(F37:J37)*1)&gt;0,SUMPRODUCT(Bobot_Filter!$B$38:$F$38,F37:J37)/SUMPRODUCT(Bobot_Filter!$B$38:$F$38,ISNUMBER(F37:J37)*1),"")</f>
        <v>1.04086379547232</v>
      </c>
      <c r="L37" s="25" t="n">
        <f aca="false">IF(AND($A37&gt;=$B$6,$A37&lt;=$B$7),SUMPRODUCT(Bobot_Filter!$B$4:$B$16,K31:K43),"")</f>
        <v>0.996279474852124</v>
      </c>
      <c r="M37" s="25" t="n">
        <f aca="false">K37/INDEX($L$12:$L$59,MAX($B$6,MIN($A37,$B$7)))</f>
        <v>1.04475081716083</v>
      </c>
      <c r="N37" s="27" t="n">
        <f aca="false">C37/M37</f>
        <v>254.606166016572</v>
      </c>
      <c r="O37" s="27" t="n">
        <f aca="false">IF(AND($A37&gt;=$B$6,$A37&lt;=$B$7),SUMPRODUCT(Bobot_Filter!$B$20:$B$32,N31:N43),"")</f>
        <v>252.616672505126</v>
      </c>
      <c r="P37" s="25" t="n">
        <f aca="false">IF(ISNUMBER(O37),C37/O37,"")</f>
        <v>1.05297879733018</v>
      </c>
      <c r="Q37" s="25" t="str">
        <f aca="false">IF(AND($A37+(-36)&gt;=1,$A37+(-36)&lt;=$B$8),INDEX($P$12:$P$59,$A37+(-36)),"")</f>
        <v/>
      </c>
      <c r="R37" s="25" t="str">
        <f aca="false">IF(AND($A37+(-24)&gt;=1,$A37+(-24)&lt;=$B$8),INDEX($P$12:$P$59,$A37+(-24)),"")</f>
        <v/>
      </c>
      <c r="S37" s="25" t="n">
        <f aca="false">IF(AND($A37+(-12)&gt;=1,$A37+(-12)&lt;=$B$8),INDEX($P$12:$P$59,$A37+(-12)),"")</f>
        <v>1.02906931417317</v>
      </c>
      <c r="T37" s="25" t="n">
        <f aca="false">IF(AND($A37+(0)&gt;=1,$A37+(0)&lt;=$B$8),INDEX($P$12:$P$59,$A37+(0)),"")</f>
        <v>1.05297879733018</v>
      </c>
      <c r="U37" s="25" t="n">
        <f aca="false">IF(AND($A37+(12)&gt;=1,$A37+(12)&lt;=$B$8),INDEX($P$12:$P$59,$A37+(12)),"")</f>
        <v>1.03597019238583</v>
      </c>
      <c r="V37" s="25" t="str">
        <f aca="false">IF(AND($A37+(24)&gt;=1,$A37+(24)&lt;=$B$8),INDEX($P$12:$P$59,$A37+(24)),"")</f>
        <v/>
      </c>
      <c r="W37" s="25" t="str">
        <f aca="false">IF(AND($A37+(36)&gt;=1,$A37+(36)&lt;=$B$8),INDEX($P$12:$P$59,$A37+(36)),"")</f>
        <v/>
      </c>
      <c r="X37" s="25" t="n">
        <f aca="false">IF(SUMPRODUCT(Bobot_Filter!$B$43:$H$43,ISNUMBER(Q37:W37)*1)&gt;0,SUMPRODUCT(Bobot_Filter!$B$43:$H$43,Q37:W37)/SUMPRODUCT(Bobot_Filter!$B$43:$H$43,ISNUMBER(Q37:W37)*1),"")</f>
        <v>1.03933943462973</v>
      </c>
      <c r="Y37" s="25" t="n">
        <f aca="false">IF(AND($A37&gt;=$B$6,$A37&lt;=$B$7),SUMPRODUCT(Bobot_Filter!$B$4:$B$16,X31:X43),"")</f>
        <v>0.998094787709285</v>
      </c>
      <c r="Z37" s="33" t="n">
        <f aca="false">X37/INDEX($Y$12:$Y$59,MAX($B$6,MIN($A37,$B$7)))</f>
        <v>1.04132337672567</v>
      </c>
      <c r="AA37" s="27" t="n">
        <f aca="false">C37/Z37</f>
        <v>255.44418376202</v>
      </c>
      <c r="AB37" s="27" t="n">
        <f aca="false">IF(AND($A37&gt;=$B$6,$A37&lt;=$B$7),SUMPRODUCT(Bobot_Filter!$B$20:$B$32,AA31:AA43),"")</f>
        <v>251.962087914395</v>
      </c>
      <c r="AC37" s="25" t="n">
        <f aca="false">IF(ISNUMBER(AB37),AA37/AB37,"")</f>
        <v>1.01381991980003</v>
      </c>
      <c r="AD37" s="27" t="n">
        <f aca="false">$B$4+$B$3*A37</f>
        <v>247.381257179936</v>
      </c>
      <c r="AE37" s="27" t="n">
        <f aca="false">AD37*Z37</f>
        <v>257.603886065253</v>
      </c>
      <c r="AF37" s="28" t="n">
        <f aca="false">ABS(C37-AE37)/C37</f>
        <v>0.0315643381005544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Data!E31</f>
        <v>226</v>
      </c>
      <c r="D38" s="27" t="n">
        <f aca="false">IF(AND($A38&gt;=$B$6,$A38&lt;=$B$7),SUMPRODUCT(Bobot_Filter!$B$4:$B$16,C32:C44),"")</f>
        <v>253.75</v>
      </c>
      <c r="E38" s="25" t="n">
        <f aca="false">IF(ISNUMBER(D38),C38/D38,"")</f>
        <v>0.89064039408867</v>
      </c>
      <c r="F38" s="25" t="str">
        <f aca="false">IF(AND($A38+(-24)&gt;=1,$A38+(-24)&lt;=$B$8),INDEX($E$12:$E$59,$A38+(-24)),"")</f>
        <v/>
      </c>
      <c r="G38" s="25" t="n">
        <f aca="false">IF(AND($A38+(-12)&gt;=1,$A38+(-12)&lt;=$B$8),INDEX($E$12:$E$59,$A38+(-12)),"")</f>
        <v>0.94208766062313</v>
      </c>
      <c r="H38" s="25" t="n">
        <f aca="false">IF(AND($A38+(0)&gt;=1,$A38+(0)&lt;=$B$8),INDEX($E$12:$E$59,$A38+(0)),"")</f>
        <v>0.89064039408867</v>
      </c>
      <c r="I38" s="25" t="n">
        <f aca="false">IF(AND($A38+(12)&gt;=1,$A38+(12)&lt;=$B$8),INDEX($E$12:$E$59,$A38+(12)),"")</f>
        <v>0.883507853403141</v>
      </c>
      <c r="J38" s="25" t="str">
        <f aca="false">IF(AND($A38+(24)&gt;=1,$A38+(24)&lt;=$B$8),INDEX($E$12:$E$59,$A38+(24)),"")</f>
        <v/>
      </c>
      <c r="K38" s="25" t="n">
        <f aca="false">IF(SUMPRODUCT(Bobot_Filter!$B$38:$F$38,ISNUMBER(F38:J38)*1)&gt;0,SUMPRODUCT(Bobot_Filter!$B$38:$F$38,F38:J38)/SUMPRODUCT(Bobot_Filter!$B$38:$F$38,ISNUMBER(F38:J38)*1),"")</f>
        <v>0.903301744331222</v>
      </c>
      <c r="L38" s="25" t="n">
        <f aca="false">IF(AND($A38&gt;=$B$6,$A38&lt;=$B$7),SUMPRODUCT(Bobot_Filter!$B$4:$B$16,K32:K44),"")</f>
        <v>0.997670770030463</v>
      </c>
      <c r="M38" s="25" t="n">
        <f aca="false">K38/INDEX($L$12:$L$59,MAX($B$6,MIN($A38,$B$7)))</f>
        <v>0.905410653961167</v>
      </c>
      <c r="N38" s="27" t="n">
        <f aca="false">C38/M38</f>
        <v>249.61049332836</v>
      </c>
      <c r="O38" s="27" t="n">
        <f aca="false">IF(AND($A38&gt;=$B$6,$A38&lt;=$B$7),SUMPRODUCT(Bobot_Filter!$B$20:$B$32,N32:N44),"")</f>
        <v>255.742304343647</v>
      </c>
      <c r="P38" s="25" t="n">
        <f aca="false">IF(ISNUMBER(O38),C38/O38,"")</f>
        <v>0.883702055395255</v>
      </c>
      <c r="Q38" s="25" t="str">
        <f aca="false">IF(AND($A38+(-36)&gt;=1,$A38+(-36)&lt;=$B$8),INDEX($P$12:$P$59,$A38+(-36)),"")</f>
        <v/>
      </c>
      <c r="R38" s="25" t="str">
        <f aca="false">IF(AND($A38+(-24)&gt;=1,$A38+(-24)&lt;=$B$8),INDEX($P$12:$P$59,$A38+(-24)),"")</f>
        <v/>
      </c>
      <c r="S38" s="25" t="n">
        <f aca="false">IF(AND($A38+(-12)&gt;=1,$A38+(-12)&lt;=$B$8),INDEX($P$12:$P$59,$A38+(-12)),"")</f>
        <v>0.939866509284494</v>
      </c>
      <c r="T38" s="25" t="n">
        <f aca="false">IF(AND($A38+(0)&gt;=1,$A38+(0)&lt;=$B$8),INDEX($P$12:$P$59,$A38+(0)),"")</f>
        <v>0.883702055395255</v>
      </c>
      <c r="U38" s="25" t="n">
        <f aca="false">IF(AND($A38+(12)&gt;=1,$A38+(12)&lt;=$B$8),INDEX($P$12:$P$59,$A38+(12)),"")</f>
        <v>0.898318674633833</v>
      </c>
      <c r="V38" s="25" t="str">
        <f aca="false">IF(AND($A38+(24)&gt;=1,$A38+(24)&lt;=$B$8),INDEX($P$12:$P$59,$A38+(24)),"")</f>
        <v/>
      </c>
      <c r="W38" s="25" t="str">
        <f aca="false">IF(AND($A38+(36)&gt;=1,$A38+(36)&lt;=$B$8),INDEX($P$12:$P$59,$A38+(36)),"")</f>
        <v/>
      </c>
      <c r="X38" s="25" t="n">
        <f aca="false">IF(SUMPRODUCT(Bobot_Filter!$B$43:$H$43,ISNUMBER(Q38:W38)*1)&gt;0,SUMPRODUCT(Bobot_Filter!$B$43:$H$43,Q38:W38)/SUMPRODUCT(Bobot_Filter!$B$43:$H$43,ISNUMBER(Q38:W38)*1),"")</f>
        <v>0.907295746437861</v>
      </c>
      <c r="Y38" s="25" t="n">
        <f aca="false">IF(AND($A38&gt;=$B$6,$A38&lt;=$B$7),SUMPRODUCT(Bobot_Filter!$B$4:$B$16,X32:X44),"")</f>
        <v>0.998574118428178</v>
      </c>
      <c r="Z38" s="33" t="n">
        <f aca="false">X38/INDEX($Y$12:$Y$59,MAX($B$6,MIN($A38,$B$7)))</f>
        <v>0.908591290014611</v>
      </c>
      <c r="AA38" s="27" t="n">
        <f aca="false">C38/Z38</f>
        <v>248.736700960853</v>
      </c>
      <c r="AB38" s="27" t="n">
        <f aca="false">IF(AND($A38&gt;=$B$6,$A38&lt;=$B$7),SUMPRODUCT(Bobot_Filter!$B$20:$B$32,AA32:AA44),"")</f>
        <v>255.220419534578</v>
      </c>
      <c r="AC38" s="25" t="n">
        <f aca="false">IF(ISNUMBER(AB38),AA38/AB38,"")</f>
        <v>0.974595611959465</v>
      </c>
      <c r="AD38" s="27" t="n">
        <f aca="false">$B$4+$B$3*A38</f>
        <v>248.230924747015</v>
      </c>
      <c r="AE38" s="27" t="n">
        <f aca="false">AD38*Z38</f>
        <v>225.54045613741</v>
      </c>
      <c r="AF38" s="28" t="n">
        <f aca="false">ABS(C38-AE38)/C38</f>
        <v>0.00203337992296377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Data!E32</f>
        <v>242</v>
      </c>
      <c r="D39" s="27" t="n">
        <f aca="false">IF(AND($A39&gt;=$B$6,$A39&lt;=$B$7),SUMPRODUCT(Bobot_Filter!$B$4:$B$16,C33:C45),"")</f>
        <v>255.583333333333</v>
      </c>
      <c r="E39" s="25" t="n">
        <f aca="false">IF(ISNUMBER(D39),C39/D39,"")</f>
        <v>0.946853602869254</v>
      </c>
      <c r="F39" s="25" t="str">
        <f aca="false">IF(AND($A39+(-24)&gt;=1,$A39+(-24)&lt;=$B$8),INDEX($E$12:$E$59,$A39+(-24)),"")</f>
        <v/>
      </c>
      <c r="G39" s="25" t="n">
        <f aca="false">IF(AND($A39+(-12)&gt;=1,$A39+(-12)&lt;=$B$8),INDEX($E$12:$E$59,$A39+(-12)),"")</f>
        <v>0.857886517438834</v>
      </c>
      <c r="H39" s="25" t="n">
        <f aca="false">IF(AND($A39+(0)&gt;=1,$A39+(0)&lt;=$B$8),INDEX($E$12:$E$59,$A39+(0)),"")</f>
        <v>0.946853602869254</v>
      </c>
      <c r="I39" s="25" t="n">
        <f aca="false">IF(AND($A39+(12)&gt;=1,$A39+(12)&lt;=$B$8),INDEX($E$12:$E$59,$A39+(12)),"")</f>
        <v>0.897959183673469</v>
      </c>
      <c r="J39" s="25" t="str">
        <f aca="false">IF(AND($A39+(24)&gt;=1,$A39+(24)&lt;=$B$8),INDEX($E$12:$E$59,$A39+(24)),"")</f>
        <v/>
      </c>
      <c r="K39" s="25" t="n">
        <f aca="false">IF(SUMPRODUCT(Bobot_Filter!$B$38:$F$38,ISNUMBER(F39:J39)*1)&gt;0,SUMPRODUCT(Bobot_Filter!$B$38:$F$38,F39:J39)/SUMPRODUCT(Bobot_Filter!$B$38:$F$38,ISNUMBER(F39:J39)*1),"")</f>
        <v>0.907464601547481</v>
      </c>
      <c r="L39" s="25" t="n">
        <f aca="false">IF(AND($A39&gt;=$B$6,$A39&lt;=$B$7),SUMPRODUCT(Bobot_Filter!$B$4:$B$16,K33:K45),"")</f>
        <v>0.999803372069963</v>
      </c>
      <c r="M39" s="25" t="n">
        <f aca="false">K39/INDEX($L$12:$L$59,MAX($B$6,MIN($A39,$B$7)))</f>
        <v>0.907643069525454</v>
      </c>
      <c r="N39" s="27" t="n">
        <f aca="false">C39/M39</f>
        <v>266.624632661521</v>
      </c>
      <c r="O39" s="27" t="n">
        <f aca="false">IF(AND($A39&gt;=$B$6,$A39&lt;=$B$7),SUMPRODUCT(Bobot_Filter!$B$20:$B$32,N33:N45),"")</f>
        <v>258.018150271953</v>
      </c>
      <c r="P39" s="25" t="n">
        <f aca="false">IF(ISNUMBER(O39),C39/O39,"")</f>
        <v>0.937918513658555</v>
      </c>
      <c r="Q39" s="25" t="str">
        <f aca="false">IF(AND($A39+(-36)&gt;=1,$A39+(-36)&lt;=$B$8),INDEX($P$12:$P$59,$A39+(-36)),"")</f>
        <v/>
      </c>
      <c r="R39" s="25" t="str">
        <f aca="false">IF(AND($A39+(-24)&gt;=1,$A39+(-24)&lt;=$B$8),INDEX($P$12:$P$59,$A39+(-24)),"")</f>
        <v/>
      </c>
      <c r="S39" s="25" t="n">
        <f aca="false">IF(AND($A39+(-12)&gt;=1,$A39+(-12)&lt;=$B$8),INDEX($P$12:$P$59,$A39+(-12)),"")</f>
        <v>0.871267741686081</v>
      </c>
      <c r="T39" s="25" t="n">
        <f aca="false">IF(AND($A39+(0)&gt;=1,$A39+(0)&lt;=$B$8),INDEX($P$12:$P$59,$A39+(0)),"")</f>
        <v>0.937918513658555</v>
      </c>
      <c r="U39" s="25" t="n">
        <f aca="false">IF(AND($A39+(12)&gt;=1,$A39+(12)&lt;=$B$8),INDEX($P$12:$P$59,$A39+(12)),"")</f>
        <v>0.917126936132445</v>
      </c>
      <c r="V39" s="25" t="str">
        <f aca="false">IF(AND($A39+(24)&gt;=1,$A39+(24)&lt;=$B$8),INDEX($P$12:$P$59,$A39+(24)),"")</f>
        <v/>
      </c>
      <c r="W39" s="25" t="str">
        <f aca="false">IF(AND($A39+(36)&gt;=1,$A39+(36)&lt;=$B$8),INDEX($P$12:$P$59,$A39+(36)),"")</f>
        <v/>
      </c>
      <c r="X39" s="25" t="n">
        <f aca="false">IF(SUMPRODUCT(Bobot_Filter!$B$43:$H$43,ISNUMBER(Q39:W39)*1)&gt;0,SUMPRODUCT(Bobot_Filter!$B$43:$H$43,Q39:W39)/SUMPRODUCT(Bobot_Filter!$B$43:$H$43,ISNUMBER(Q39:W39)*1),"")</f>
        <v>0.908771063825693</v>
      </c>
      <c r="Y39" s="25" t="n">
        <f aca="false">IF(AND($A39&gt;=$B$6,$A39&lt;=$B$7),SUMPRODUCT(Bobot_Filter!$B$4:$B$16,X33:X45),"")</f>
        <v>0.99935761098978</v>
      </c>
      <c r="Z39" s="33" t="n">
        <f aca="false">X39/INDEX($Y$12:$Y$59,MAX($B$6,MIN($A39,$B$7)))</f>
        <v>0.909355223627738</v>
      </c>
      <c r="AA39" s="27" t="n">
        <f aca="false">C39/Z39</f>
        <v>266.122625913531</v>
      </c>
      <c r="AB39" s="27" t="n">
        <f aca="false">IF(AND($A39&gt;=$B$6,$A39&lt;=$B$7),SUMPRODUCT(Bobot_Filter!$B$20:$B$32,AA33:AA45),"")</f>
        <v>257.657953157902</v>
      </c>
      <c r="AC39" s="25" t="n">
        <f aca="false">IF(ISNUMBER(AB39),AA39/AB39,"")</f>
        <v>1.03285236357692</v>
      </c>
      <c r="AD39" s="27" t="n">
        <f aca="false">$B$4+$B$3*A39</f>
        <v>249.080592314095</v>
      </c>
      <c r="AE39" s="27" t="n">
        <f aca="false">AD39*Z39</f>
        <v>226.502737725113</v>
      </c>
      <c r="AF39" s="28" t="n">
        <f aca="false">ABS(C39-AE39)/C39</f>
        <v>0.0640382738631694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Data!E33</f>
        <v>241</v>
      </c>
      <c r="D40" s="27" t="n">
        <f aca="false">IF(AND($A40&gt;=$B$6,$A40&lt;=$B$7),SUMPRODUCT(Bobot_Filter!$B$4:$B$16,C34:C46),"")</f>
        <v>255.833333333333</v>
      </c>
      <c r="E40" s="25" t="n">
        <f aca="false">IF(ISNUMBER(D40),C40/D40,"")</f>
        <v>0.942019543973941</v>
      </c>
      <c r="F40" s="25" t="str">
        <f aca="false">IF(AND($A40+(-24)&gt;=1,$A40+(-24)&lt;=$B$8),INDEX($E$12:$E$59,$A40+(-24)),"")</f>
        <v/>
      </c>
      <c r="G40" s="25" t="n">
        <f aca="false">IF(AND($A40+(-12)&gt;=1,$A40+(-12)&lt;=$B$8),INDEX($E$12:$E$59,$A40+(-12)),"")</f>
        <v>0.854489164086687</v>
      </c>
      <c r="H40" s="25" t="n">
        <f aca="false">IF(AND($A40+(0)&gt;=1,$A40+(0)&lt;=$B$8),INDEX($E$12:$E$59,$A40+(0)),"")</f>
        <v>0.942019543973941</v>
      </c>
      <c r="I40" s="25" t="n">
        <f aca="false">IF(AND($A40+(12)&gt;=1,$A40+(12)&lt;=$B$8),INDEX($E$12:$E$59,$A40+(12)),"")</f>
        <v>0.878284700951153</v>
      </c>
      <c r="J40" s="25" t="str">
        <f aca="false">IF(AND($A40+(24)&gt;=1,$A40+(24)&lt;=$B$8),INDEX($E$12:$E$59,$A40+(24)),"")</f>
        <v/>
      </c>
      <c r="K40" s="25" t="n">
        <f aca="false">IF(SUMPRODUCT(Bobot_Filter!$B$38:$F$38,ISNUMBER(F40:J40)*1)&gt;0,SUMPRODUCT(Bobot_Filter!$B$38:$F$38,F40:J40)/SUMPRODUCT(Bobot_Filter!$B$38:$F$38,ISNUMBER(F40:J40)*1),"")</f>
        <v>0.898800908856786</v>
      </c>
      <c r="L40" s="25" t="n">
        <f aca="false">IF(AND($A40&gt;=$B$6,$A40&lt;=$B$7),SUMPRODUCT(Bobot_Filter!$B$4:$B$16,K34:K46),"")</f>
        <v>0.99988779719238</v>
      </c>
      <c r="M40" s="25" t="n">
        <f aca="false">K40/INDEX($L$12:$L$59,MAX($B$6,MIN($A40,$B$7)))</f>
        <v>0.898901768158949</v>
      </c>
      <c r="N40" s="27" t="n">
        <f aca="false">C40/M40</f>
        <v>268.104934862454</v>
      </c>
      <c r="O40" s="27" t="n">
        <f aca="false">IF(AND($A40&gt;=$B$6,$A40&lt;=$B$7),SUMPRODUCT(Bobot_Filter!$B$20:$B$32,N34:N46),"")</f>
        <v>259.366064766815</v>
      </c>
      <c r="P40" s="25" t="n">
        <f aca="false">IF(ISNUMBER(O40),C40/O40,"")</f>
        <v>0.929188636210649</v>
      </c>
      <c r="Q40" s="25" t="str">
        <f aca="false">IF(AND($A40+(-36)&gt;=1,$A40+(-36)&lt;=$B$8),INDEX($P$12:$P$59,$A40+(-36)),"")</f>
        <v/>
      </c>
      <c r="R40" s="25" t="str">
        <f aca="false">IF(AND($A40+(-24)&gt;=1,$A40+(-24)&lt;=$B$8),INDEX($P$12:$P$59,$A40+(-24)),"")</f>
        <v/>
      </c>
      <c r="S40" s="25" t="n">
        <f aca="false">IF(AND($A40+(-12)&gt;=1,$A40+(-12)&lt;=$B$8),INDEX($P$12:$P$59,$A40+(-12)),"")</f>
        <v>0.872859572882159</v>
      </c>
      <c r="T40" s="25" t="n">
        <f aca="false">IF(AND($A40+(0)&gt;=1,$A40+(0)&lt;=$B$8),INDEX($P$12:$P$59,$A40+(0)),"")</f>
        <v>0.929188636210649</v>
      </c>
      <c r="U40" s="25" t="n">
        <f aca="false">IF(AND($A40+(12)&gt;=1,$A40+(12)&lt;=$B$8),INDEX($P$12:$P$59,$A40+(12)),"")</f>
        <v>0.891699816535878</v>
      </c>
      <c r="V40" s="25" t="str">
        <f aca="false">IF(AND($A40+(24)&gt;=1,$A40+(24)&lt;=$B$8),INDEX($P$12:$P$59,$A40+(24)),"")</f>
        <v/>
      </c>
      <c r="W40" s="25" t="str">
        <f aca="false">IF(AND($A40+(36)&gt;=1,$A40+(36)&lt;=$B$8),INDEX($P$12:$P$59,$A40+(36)),"")</f>
        <v/>
      </c>
      <c r="X40" s="25" t="n">
        <f aca="false">IF(SUMPRODUCT(Bobot_Filter!$B$43:$H$43,ISNUMBER(Q40:W40)*1)&gt;0,SUMPRODUCT(Bobot_Filter!$B$43:$H$43,Q40:W40)/SUMPRODUCT(Bobot_Filter!$B$43:$H$43,ISNUMBER(Q40:W40)*1),"")</f>
        <v>0.897916008542895</v>
      </c>
      <c r="Y40" s="25" t="n">
        <f aca="false">IF(AND($A40&gt;=$B$6,$A40&lt;=$B$7),SUMPRODUCT(Bobot_Filter!$B$4:$B$16,X34:X46),"")</f>
        <v>0.999387333979577</v>
      </c>
      <c r="Z40" s="33" t="n">
        <f aca="false">X40/INDEX($Y$12:$Y$59,MAX($B$6,MIN($A40,$B$7)))</f>
        <v>0.898466468418585</v>
      </c>
      <c r="AA40" s="27" t="n">
        <f aca="false">C40/Z40</f>
        <v>268.234829535921</v>
      </c>
      <c r="AB40" s="27" t="n">
        <f aca="false">IF(AND($A40&gt;=$B$6,$A40&lt;=$B$7),SUMPRODUCT(Bobot_Filter!$B$20:$B$32,AA34:AA46),"")</f>
        <v>259.428175806359</v>
      </c>
      <c r="AC40" s="25" t="n">
        <f aca="false">IF(ISNUMBER(AB40),AA40/AB40,"")</f>
        <v>1.03394640424923</v>
      </c>
      <c r="AD40" s="27" t="n">
        <f aca="false">$B$4+$B$3*A40</f>
        <v>249.930259881174</v>
      </c>
      <c r="AE40" s="27" t="n">
        <f aca="false">AD40*Z40</f>
        <v>224.553957946378</v>
      </c>
      <c r="AF40" s="28" t="n">
        <f aca="false">ABS(C40-AE40)/C40</f>
        <v>0.0682408383967732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Data!E34</f>
        <v>236</v>
      </c>
      <c r="D41" s="27" t="n">
        <f aca="false">IF(AND($A41&gt;=$B$6,$A41&lt;=$B$7),SUMPRODUCT(Bobot_Filter!$B$4:$B$16,C35:C47),"")</f>
        <v>255.5</v>
      </c>
      <c r="E41" s="25" t="n">
        <f aca="false">IF(ISNUMBER(D41),C41/D41,"")</f>
        <v>0.923679060665362</v>
      </c>
      <c r="F41" s="25" t="str">
        <f aca="false">IF(AND($A41+(-24)&gt;=1,$A41+(-24)&lt;=$B$8),INDEX($E$12:$E$59,$A41+(-24)),"")</f>
        <v/>
      </c>
      <c r="G41" s="25" t="n">
        <f aca="false">IF(AND($A41+(-12)&gt;=1,$A41+(-12)&lt;=$B$8),INDEX($E$12:$E$59,$A41+(-12)),"")</f>
        <v>0.939883201648918</v>
      </c>
      <c r="H41" s="25" t="n">
        <f aca="false">IF(AND($A41+(0)&gt;=1,$A41+(0)&lt;=$B$8),INDEX($E$12:$E$59,$A41+(0)),"")</f>
        <v>0.923679060665362</v>
      </c>
      <c r="I41" s="25" t="n">
        <f aca="false">IF(AND($A41+(12)&gt;=1,$A41+(12)&lt;=$B$8),INDEX($E$12:$E$59,$A41+(12)),"")</f>
        <v>0.928455810942053</v>
      </c>
      <c r="J41" s="25" t="str">
        <f aca="false">IF(AND($A41+(24)&gt;=1,$A41+(24)&lt;=$B$8),INDEX($E$12:$E$59,$A41+(24)),"")</f>
        <v/>
      </c>
      <c r="K41" s="25" t="n">
        <f aca="false">IF(SUMPRODUCT(Bobot_Filter!$B$38:$F$38,ISNUMBER(F41:J41)*1)&gt;0,SUMPRODUCT(Bobot_Filter!$B$38:$F$38,F41:J41)/SUMPRODUCT(Bobot_Filter!$B$38:$F$38,ISNUMBER(F41:J41)*1),"")</f>
        <v>0.929673601025432</v>
      </c>
      <c r="L41" s="25" t="n">
        <f aca="false">IF(AND($A41&gt;=$B$6,$A41&lt;=$B$7),SUMPRODUCT(Bobot_Filter!$B$4:$B$16,K35:K47),"")</f>
        <v>0.998724752189868</v>
      </c>
      <c r="M41" s="25" t="n">
        <f aca="false">K41/INDEX($L$12:$L$59,MAX($B$6,MIN($A41,$B$7)))</f>
        <v>0.930860679067951</v>
      </c>
      <c r="N41" s="27" t="n">
        <f aca="false">C41/M41</f>
        <v>253.528809742293</v>
      </c>
      <c r="O41" s="27" t="n">
        <f aca="false">IF(AND($A41&gt;=$B$6,$A41&lt;=$B$7),SUMPRODUCT(Bobot_Filter!$B$20:$B$32,N35:N47),"")</f>
        <v>259.828668702072</v>
      </c>
      <c r="P41" s="25" t="n">
        <f aca="false">IF(ISNUMBER(O41),C41/O41,"")</f>
        <v>0.908290840956452</v>
      </c>
      <c r="Q41" s="25" t="str">
        <f aca="false">IF(AND($A41+(-36)&gt;=1,$A41+(-36)&lt;=$B$8),INDEX($P$12:$P$59,$A41+(-36)),"")</f>
        <v/>
      </c>
      <c r="R41" s="25" t="str">
        <f aca="false">IF(AND($A41+(-24)&gt;=1,$A41+(-24)&lt;=$B$8),INDEX($P$12:$P$59,$A41+(-24)),"")</f>
        <v/>
      </c>
      <c r="S41" s="25" t="n">
        <f aca="false">IF(AND($A41+(-12)&gt;=1,$A41+(-12)&lt;=$B$8),INDEX($P$12:$P$59,$A41+(-12)),"")</f>
        <v>0.951348146468574</v>
      </c>
      <c r="T41" s="25" t="n">
        <f aca="false">IF(AND($A41+(0)&gt;=1,$A41+(0)&lt;=$B$8),INDEX($P$12:$P$59,$A41+(0)),"")</f>
        <v>0.908290840956452</v>
      </c>
      <c r="U41" s="25" t="n">
        <f aca="false">IF(AND($A41+(12)&gt;=1,$A41+(12)&lt;=$B$8),INDEX($P$12:$P$59,$A41+(12)),"")</f>
        <v>0.924586342062583</v>
      </c>
      <c r="V41" s="25" t="str">
        <f aca="false">IF(AND($A41+(24)&gt;=1,$A41+(24)&lt;=$B$8),INDEX($P$12:$P$59,$A41+(24)),"")</f>
        <v/>
      </c>
      <c r="W41" s="25" t="str">
        <f aca="false">IF(AND($A41+(36)&gt;=1,$A41+(36)&lt;=$B$8),INDEX($P$12:$P$59,$A41+(36)),"")</f>
        <v/>
      </c>
      <c r="X41" s="25" t="n">
        <f aca="false">IF(SUMPRODUCT(Bobot_Filter!$B$43:$H$43,ISNUMBER(Q41:W41)*1)&gt;0,SUMPRODUCT(Bobot_Filter!$B$43:$H$43,Q41:W41)/SUMPRODUCT(Bobot_Filter!$B$43:$H$43,ISNUMBER(Q41:W41)*1),"")</f>
        <v>0.928075109829203</v>
      </c>
      <c r="Y41" s="25" t="n">
        <f aca="false">IF(AND($A41&gt;=$B$6,$A41&lt;=$B$7),SUMPRODUCT(Bobot_Filter!$B$4:$B$16,X35:X47),"")</f>
        <v>0.998856621880578</v>
      </c>
      <c r="Z41" s="33" t="n">
        <f aca="false">X41/INDEX($Y$12:$Y$59,MAX($B$6,MIN($A41,$B$7)))</f>
        <v>0.929137465276936</v>
      </c>
      <c r="AA41" s="27" t="n">
        <f aca="false">C41/Z41</f>
        <v>253.999013945325</v>
      </c>
      <c r="AB41" s="27" t="n">
        <f aca="false">IF(AND($A41&gt;=$B$6,$A41&lt;=$B$7),SUMPRODUCT(Bobot_Filter!$B$20:$B$32,AA35:AA47),"")</f>
        <v>260.619341074093</v>
      </c>
      <c r="AC41" s="25" t="n">
        <f aca="false">IF(ISNUMBER(AB41),AA41/AB41,"")</f>
        <v>0.974597713655923</v>
      </c>
      <c r="AD41" s="27" t="n">
        <f aca="false">$B$4+$B$3*A41</f>
        <v>250.779927448254</v>
      </c>
      <c r="AE41" s="27" t="n">
        <f aca="false">AD41*Z41</f>
        <v>233.009026131605</v>
      </c>
      <c r="AF41" s="28" t="n">
        <f aca="false">ABS(C41-AE41)/C41</f>
        <v>0.0126736180864217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Data!E35</f>
        <v>288</v>
      </c>
      <c r="D42" s="27" t="n">
        <f aca="false">IF(AND($A42&gt;=$B$6,$A42&lt;=$B$7),SUMPRODUCT(Bobot_Filter!$B$4:$B$16,C36:C48),"")</f>
        <v>255.916666666667</v>
      </c>
      <c r="E42" s="25" t="n">
        <f aca="false">IF(ISNUMBER(D42),C42/D42,"")</f>
        <v>1.12536633018561</v>
      </c>
      <c r="F42" s="25" t="n">
        <f aca="false">IF(AND($A42+(-24)&gt;=1,$A42+(-24)&lt;=$B$8),INDEX($E$12:$E$59,$A42+(-24)),"")</f>
        <v>1.1942008233399</v>
      </c>
      <c r="G42" s="25" t="n">
        <f aca="false">IF(AND($A42+(-12)&gt;=1,$A42+(-12)&lt;=$B$8),INDEX($E$12:$E$59,$A42+(-12)),"")</f>
        <v>1.16348633316142</v>
      </c>
      <c r="H42" s="25" t="n">
        <f aca="false">IF(AND($A42+(0)&gt;=1,$A42+(0)&lt;=$B$8),INDEX($E$12:$E$59,$A42+(0)),"")</f>
        <v>1.12536633018561</v>
      </c>
      <c r="I42" s="25" t="str">
        <f aca="false">IF(AND($A42+(12)&gt;=1,$A42+(12)&lt;=$B$8),INDEX($E$12:$E$59,$A42+(12)),"")</f>
        <v/>
      </c>
      <c r="J42" s="25" t="str">
        <f aca="false">IF(AND($A42+(24)&gt;=1,$A42+(24)&lt;=$B$8),INDEX($E$12:$E$59,$A42+(24)),"")</f>
        <v/>
      </c>
      <c r="K42" s="25" t="n">
        <f aca="false">IF(SUMPRODUCT(Bobot_Filter!$B$38:$F$38,ISNUMBER(F42:J42)*1)&gt;0,SUMPRODUCT(Bobot_Filter!$B$38:$F$38,F42:J42)/SUMPRODUCT(Bobot_Filter!$B$38:$F$38,ISNUMBER(F42:J42)*1),"")</f>
        <v>1.14954541336993</v>
      </c>
      <c r="L42" s="25" t="n">
        <f aca="false">IF(AND($A42&gt;=$B$6,$A42&lt;=$B$7),SUMPRODUCT(Bobot_Filter!$B$4:$B$16,K36:K48),"")</f>
        <v>0.998100318409231</v>
      </c>
      <c r="M42" s="25" t="n">
        <f aca="false">K42/INDEX($L$12:$L$59,MAX($B$6,MIN($A42,$B$7)))</f>
        <v>1.15173333999339</v>
      </c>
      <c r="N42" s="27" t="n">
        <f aca="false">C42/M42</f>
        <v>250.057882323397</v>
      </c>
      <c r="O42" s="27" t="n">
        <f aca="false">IF(AND($A42&gt;=$B$6,$A42&lt;=$B$7),SUMPRODUCT(Bobot_Filter!$B$20:$B$32,N36:N48),"")</f>
        <v>259.483458373984</v>
      </c>
      <c r="P42" s="25" t="n">
        <f aca="false">IF(ISNUMBER(O42),C42/O42,"")</f>
        <v>1.1098973391395</v>
      </c>
      <c r="Q42" s="25" t="str">
        <f aca="false">IF(AND($A42+(-36)&gt;=1,$A42+(-36)&lt;=$B$8),INDEX($P$12:$P$59,$A42+(-36)),"")</f>
        <v/>
      </c>
      <c r="R42" s="25" t="n">
        <f aca="false">IF(AND($A42+(-24)&gt;=1,$A42+(-24)&lt;=$B$8),INDEX($P$12:$P$59,$A42+(-24)),"")</f>
        <v>1.19852773157614</v>
      </c>
      <c r="S42" s="25" t="n">
        <f aca="false">IF(AND($A42+(-12)&gt;=1,$A42+(-12)&lt;=$B$8),INDEX($P$12:$P$59,$A42+(-12)),"")</f>
        <v>1.16081783318736</v>
      </c>
      <c r="T42" s="25" t="n">
        <f aca="false">IF(AND($A42+(0)&gt;=1,$A42+(0)&lt;=$B$8),INDEX($P$12:$P$59,$A42+(0)),"")</f>
        <v>1.1098973391395</v>
      </c>
      <c r="U42" s="25" t="str">
        <f aca="false">IF(AND($A42+(12)&gt;=1,$A42+(12)&lt;=$B$8),INDEX($P$12:$P$59,$A42+(12)),"")</f>
        <v/>
      </c>
      <c r="V42" s="25" t="str">
        <f aca="false">IF(AND($A42+(24)&gt;=1,$A42+(24)&lt;=$B$8),INDEX($P$12:$P$59,$A42+(24)),"")</f>
        <v/>
      </c>
      <c r="W42" s="25" t="str">
        <f aca="false">IF(AND($A42+(36)&gt;=1,$A42+(36)&lt;=$B$8),INDEX($P$12:$P$59,$A42+(36)),"")</f>
        <v/>
      </c>
      <c r="X42" s="25" t="n">
        <f aca="false">IF(SUMPRODUCT(Bobot_Filter!$B$43:$H$43,ISNUMBER(Q42:W42)*1)&gt;0,SUMPRODUCT(Bobot_Filter!$B$43:$H$43,Q42:W42)/SUMPRODUCT(Bobot_Filter!$B$43:$H$43,ISNUMBER(Q42:W42)*1),"")</f>
        <v>1.15115012251661</v>
      </c>
      <c r="Y42" s="25" t="n">
        <f aca="false">IF(AND($A42&gt;=$B$6,$A42&lt;=$B$7),SUMPRODUCT(Bobot_Filter!$B$4:$B$16,X36:X48),"")</f>
        <v>0.998471286989185</v>
      </c>
      <c r="Z42" s="33" t="n">
        <f aca="false">X42/INDEX($Y$12:$Y$59,MAX($B$6,MIN($A42,$B$7)))</f>
        <v>1.15291259500092</v>
      </c>
      <c r="AA42" s="27" t="n">
        <f aca="false">C42/Z42</f>
        <v>249.802110974224</v>
      </c>
      <c r="AB42" s="27" t="n">
        <f aca="false">IF(AND($A42&gt;=$B$6,$A42&lt;=$B$7),SUMPRODUCT(Bobot_Filter!$B$20:$B$32,AA36:AA48),"")</f>
        <v>261.065549668315</v>
      </c>
      <c r="AC42" s="25" t="n">
        <f aca="false">IF(ISNUMBER(AB42),AA42/AB42,"")</f>
        <v>0.956855898036333</v>
      </c>
      <c r="AD42" s="27" t="n">
        <f aca="false">$B$4+$B$3*A42</f>
        <v>251.629595015333</v>
      </c>
      <c r="AE42" s="27" t="n">
        <f aca="false">AD42*Z42</f>
        <v>290.106929368158</v>
      </c>
      <c r="AF42" s="28" t="n">
        <f aca="false">ABS(C42-AE42)/C42</f>
        <v>0.00731572697276977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Data!E36</f>
        <v>277</v>
      </c>
      <c r="D43" s="27" t="n">
        <f aca="false">IF(AND($A43&gt;=$B$6,$A43&lt;=$B$7),SUMPRODUCT(Bobot_Filter!$B$4:$B$16,C37:C49),"")</f>
        <v>255.583333333333</v>
      </c>
      <c r="E43" s="25" t="n">
        <f aca="false">IF(ISNUMBER(D43),C43/D43,"")</f>
        <v>1.08379523964786</v>
      </c>
      <c r="F43" s="25" t="n">
        <f aca="false">IF(AND($A43+(-24)&gt;=1,$A43+(-24)&lt;=$B$8),INDEX($E$12:$E$59,$A43+(-24)),"")</f>
        <v>1.04981253347617</v>
      </c>
      <c r="G43" s="25" t="n">
        <f aca="false">IF(AND($A43+(-12)&gt;=1,$A43+(-12)&lt;=$B$8),INDEX($E$12:$E$59,$A43+(-12)),"")</f>
        <v>1.07205202806777</v>
      </c>
      <c r="H43" s="25" t="n">
        <f aca="false">IF(AND($A43+(0)&gt;=1,$A43+(0)&lt;=$B$8),INDEX($E$12:$E$59,$A43+(0)),"")</f>
        <v>1.08379523964786</v>
      </c>
      <c r="I43" s="25" t="str">
        <f aca="false">IF(AND($A43+(12)&gt;=1,$A43+(12)&lt;=$B$8),INDEX($E$12:$E$59,$A43+(12)),"")</f>
        <v/>
      </c>
      <c r="J43" s="25" t="str">
        <f aca="false">IF(AND($A43+(24)&gt;=1,$A43+(24)&lt;=$B$8),INDEX($E$12:$E$59,$A43+(24)),"")</f>
        <v/>
      </c>
      <c r="K43" s="25" t="n">
        <f aca="false">IF(SUMPRODUCT(Bobot_Filter!$B$38:$F$38,ISNUMBER(F43:J43)*1)&gt;0,SUMPRODUCT(Bobot_Filter!$B$38:$F$38,F43:J43)/SUMPRODUCT(Bobot_Filter!$B$38:$F$38,ISNUMBER(F43:J43)*1),"")</f>
        <v>1.07421705142588</v>
      </c>
      <c r="L43" s="25" t="n">
        <f aca="false">IF(AND($A43&gt;=$B$6,$A43&lt;=$B$7),SUMPRODUCT(Bobot_Filter!$B$4:$B$16,K37:K49),"")</f>
        <v>0.99744463594294</v>
      </c>
      <c r="M43" s="25" t="n">
        <f aca="false">K43/INDEX($L$12:$L$59,MAX($B$6,MIN($A43,$B$7)))</f>
        <v>1.07696909955345</v>
      </c>
      <c r="N43" s="27" t="n">
        <f aca="false">C43/M43</f>
        <v>257.203294054448</v>
      </c>
      <c r="O43" s="27" t="n">
        <f aca="false">IF(AND($A43&gt;=$B$6,$A43&lt;=$B$7),SUMPRODUCT(Bobot_Filter!$B$20:$B$32,N37:N49),"")</f>
        <v>258.789432402524</v>
      </c>
      <c r="P43" s="25" t="n">
        <f aca="false">IF(ISNUMBER(O43),C43/O43,"")</f>
        <v>1.07036828138002</v>
      </c>
      <c r="Q43" s="25" t="str">
        <f aca="false">IF(AND($A43+(-36)&gt;=1,$A43+(-36)&lt;=$B$8),INDEX($P$12:$P$59,$A43+(-36)),"")</f>
        <v/>
      </c>
      <c r="R43" s="25" t="n">
        <f aca="false">IF(AND($A43+(-24)&gt;=1,$A43+(-24)&lt;=$B$8),INDEX($P$12:$P$59,$A43+(-24)),"")</f>
        <v>1.07604715927674</v>
      </c>
      <c r="S43" s="25" t="n">
        <f aca="false">IF(AND($A43+(-12)&gt;=1,$A43+(-12)&lt;=$B$8),INDEX($P$12:$P$59,$A43+(-12)),"")</f>
        <v>1.06229951589914</v>
      </c>
      <c r="T43" s="25" t="n">
        <f aca="false">IF(AND($A43+(0)&gt;=1,$A43+(0)&lt;=$B$8),INDEX($P$12:$P$59,$A43+(0)),"")</f>
        <v>1.07036828138002</v>
      </c>
      <c r="U43" s="25" t="str">
        <f aca="false">IF(AND($A43+(12)&gt;=1,$A43+(12)&lt;=$B$8),INDEX($P$12:$P$59,$A43+(12)),"")</f>
        <v/>
      </c>
      <c r="V43" s="25" t="str">
        <f aca="false">IF(AND($A43+(24)&gt;=1,$A43+(24)&lt;=$B$8),INDEX($P$12:$P$59,$A43+(24)),"")</f>
        <v/>
      </c>
      <c r="W43" s="25" t="str">
        <f aca="false">IF(AND($A43+(36)&gt;=1,$A43+(36)&lt;=$B$8),INDEX($P$12:$P$59,$A43+(36)),"")</f>
        <v/>
      </c>
      <c r="X43" s="25" t="n">
        <f aca="false">IF(SUMPRODUCT(Bobot_Filter!$B$43:$H$43,ISNUMBER(Q43:W43)*1)&gt;0,SUMPRODUCT(Bobot_Filter!$B$43:$H$43,Q43:W43)/SUMPRODUCT(Bobot_Filter!$B$43:$H$43,ISNUMBER(Q43:W43)*1),"")</f>
        <v>1.06876221379887</v>
      </c>
      <c r="Y43" s="25" t="n">
        <f aca="false">IF(AND($A43&gt;=$B$6,$A43&lt;=$B$7),SUMPRODUCT(Bobot_Filter!$B$4:$B$16,X37:X49),"")</f>
        <v>0.998429442154026</v>
      </c>
      <c r="Z43" s="33" t="n">
        <f aca="false">X43/INDEX($Y$12:$Y$59,MAX($B$6,MIN($A43,$B$7)))</f>
        <v>1.07044340709055</v>
      </c>
      <c r="AA43" s="27" t="n">
        <f aca="false">C43/Z43</f>
        <v>258.771270078521</v>
      </c>
      <c r="AB43" s="27" t="n">
        <f aca="false">IF(AND($A43&gt;=$B$6,$A43&lt;=$B$7),SUMPRODUCT(Bobot_Filter!$B$20:$B$32,AA37:AA49),"")</f>
        <v>260.875132187691</v>
      </c>
      <c r="AC43" s="25" t="n">
        <f aca="false">IF(ISNUMBER(AB43),AA43/AB43,"")</f>
        <v>0.991935367347869</v>
      </c>
      <c r="AD43" s="27" t="n">
        <f aca="false">$B$4+$B$3*A43</f>
        <v>252.479262582413</v>
      </c>
      <c r="AE43" s="27" t="n">
        <f aca="false">AD43*Z43</f>
        <v>270.264762058427</v>
      </c>
      <c r="AF43" s="28" t="n">
        <f aca="false">ABS(C43-AE43)/C43</f>
        <v>0.0243149384172326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Data!E37</f>
        <v>248</v>
      </c>
      <c r="D44" s="27" t="n">
        <f aca="false">IF(AND($A44&gt;=$B$6,$A44&lt;=$B$7),SUMPRODUCT(Bobot_Filter!$B$4:$B$16,C38:C50),"")</f>
        <v>255.208333333333</v>
      </c>
      <c r="E44" s="25" t="n">
        <f aca="false">IF(ISNUMBER(D44),C44/D44,"")</f>
        <v>0.971755102040816</v>
      </c>
      <c r="F44" s="25" t="n">
        <f aca="false">IF(AND($A44+(-24)&gt;=1,$A44+(-24)&lt;=$B$8),INDEX($E$12:$E$59,$A44+(-24)),"")</f>
        <v>0.765911927259761</v>
      </c>
      <c r="G44" s="25" t="n">
        <f aca="false">IF(AND($A44+(-12)&gt;=1,$A44+(-12)&lt;=$B$8),INDEX($E$12:$E$59,$A44+(-12)),"")</f>
        <v>0.932674279870462</v>
      </c>
      <c r="H44" s="25" t="n">
        <f aca="false">IF(AND($A44+(0)&gt;=1,$A44+(0)&lt;=$B$8),INDEX($E$12:$E$59,$A44+(0)),"")</f>
        <v>0.971755102040816</v>
      </c>
      <c r="I44" s="25" t="str">
        <f aca="false">IF(AND($A44+(12)&gt;=1,$A44+(12)&lt;=$B$8),INDEX($E$12:$E$59,$A44+(12)),"")</f>
        <v/>
      </c>
      <c r="J44" s="25" t="str">
        <f aca="false">IF(AND($A44+(24)&gt;=1,$A44+(24)&lt;=$B$8),INDEX($E$12:$E$59,$A44+(24)),"")</f>
        <v/>
      </c>
      <c r="K44" s="25" t="n">
        <f aca="false">IF(SUMPRODUCT(Bobot_Filter!$B$38:$F$38,ISNUMBER(F44:J44)*1)&gt;0,SUMPRODUCT(Bobot_Filter!$B$38:$F$38,F44:J44)/SUMPRODUCT(Bobot_Filter!$B$38:$F$38,ISNUMBER(F44:J44)*1),"")</f>
        <v>0.924420965520522</v>
      </c>
      <c r="L44" s="25" t="n">
        <f aca="false">IF(AND($A44&gt;=$B$6,$A44&lt;=$B$7),SUMPRODUCT(Bobot_Filter!$B$4:$B$16,K38:K50),"")</f>
        <v>0.996803510876789</v>
      </c>
      <c r="M44" s="25" t="n">
        <f aca="false">K44/INDEX($L$12:$L$59,MAX($B$6,MIN($A44,$B$7)))</f>
        <v>0.927385342681429</v>
      </c>
      <c r="N44" s="27" t="n">
        <f aca="false">C44/M44</f>
        <v>267.418502952544</v>
      </c>
      <c r="O44" s="27" t="n">
        <f aca="false">IF(AND($A44&gt;=$B$6,$A44&lt;=$B$7),SUMPRODUCT(Bobot_Filter!$B$20:$B$32,N38:N50),"")</f>
        <v>257.620871160319</v>
      </c>
      <c r="P44" s="25" t="n">
        <f aca="false">IF(ISNUMBER(O44),C44/O44,"")</f>
        <v>0.962654923426868</v>
      </c>
      <c r="Q44" s="25" t="str">
        <f aca="false">IF(AND($A44+(-36)&gt;=1,$A44+(-36)&lt;=$B$8),INDEX($P$12:$P$59,$A44+(-36)),"")</f>
        <v/>
      </c>
      <c r="R44" s="25" t="n">
        <f aca="false">IF(AND($A44+(-24)&gt;=1,$A44+(-24)&lt;=$B$8),INDEX($P$12:$P$59,$A44+(-24)),"")</f>
        <v>0.79418253442518</v>
      </c>
      <c r="S44" s="25" t="n">
        <f aca="false">IF(AND($A44+(-12)&gt;=1,$A44+(-12)&lt;=$B$8),INDEX($P$12:$P$59,$A44+(-12)),"")</f>
        <v>0.921231160779794</v>
      </c>
      <c r="T44" s="25" t="n">
        <f aca="false">IF(AND($A44+(0)&gt;=1,$A44+(0)&lt;=$B$8),INDEX($P$12:$P$59,$A44+(0)),"")</f>
        <v>0.962654923426868</v>
      </c>
      <c r="U44" s="25" t="str">
        <f aca="false">IF(AND($A44+(12)&gt;=1,$A44+(12)&lt;=$B$8),INDEX($P$12:$P$59,$A44+(12)),"")</f>
        <v/>
      </c>
      <c r="V44" s="25" t="str">
        <f aca="false">IF(AND($A44+(24)&gt;=1,$A44+(24)&lt;=$B$8),INDEX($P$12:$P$59,$A44+(24)),"")</f>
        <v/>
      </c>
      <c r="W44" s="25" t="str">
        <f aca="false">IF(AND($A44+(36)&gt;=1,$A44+(36)&lt;=$B$8),INDEX($P$12:$P$59,$A44+(36)),"")</f>
        <v/>
      </c>
      <c r="X44" s="25" t="n">
        <f aca="false">IF(SUMPRODUCT(Bobot_Filter!$B$43:$H$43,ISNUMBER(Q44:W44)*1)&gt;0,SUMPRODUCT(Bobot_Filter!$B$43:$H$43,Q44:W44)/SUMPRODUCT(Bobot_Filter!$B$43:$H$43,ISNUMBER(Q44:W44)*1),"")</f>
        <v>0.905002915183793</v>
      </c>
      <c r="Y44" s="25" t="n">
        <f aca="false">IF(AND($A44&gt;=$B$6,$A44&lt;=$B$7),SUMPRODUCT(Bobot_Filter!$B$4:$B$16,X38:X50),"")</f>
        <v>0.998313292974911</v>
      </c>
      <c r="Z44" s="33" t="n">
        <f aca="false">X44/INDEX($Y$12:$Y$59,MAX($B$6,MIN($A44,$B$7)))</f>
        <v>0.906531969024415</v>
      </c>
      <c r="AA44" s="27" t="n">
        <f aca="false">C44/Z44</f>
        <v>273.570054310264</v>
      </c>
      <c r="AB44" s="27" t="n">
        <f aca="false">IF(AND($A44&gt;=$B$6,$A44&lt;=$B$7),SUMPRODUCT(Bobot_Filter!$B$20:$B$32,AA38:AA50),"")</f>
        <v>259.609735558792</v>
      </c>
      <c r="AC44" s="25" t="n">
        <f aca="false">IF(ISNUMBER(AB44),AA44/AB44,"")</f>
        <v>1.0537742497269</v>
      </c>
      <c r="AD44" s="27" t="n">
        <f aca="false">$B$4+$B$3*A44</f>
        <v>253.328930149493</v>
      </c>
      <c r="AE44" s="27" t="n">
        <f aca="false">AD44*Z44</f>
        <v>229.650773859268</v>
      </c>
      <c r="AF44" s="28" t="n">
        <f aca="false">ABS(C44-AE44)/C44</f>
        <v>0.0739888150835971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Data!E38</f>
        <v>280</v>
      </c>
      <c r="D45" s="27" t="n">
        <f aca="false">IF(AND($A45&gt;=$B$6,$A45&lt;=$B$7),SUMPRODUCT(Bobot_Filter!$B$4:$B$16,C39:C51),"")</f>
        <v>254.708333333333</v>
      </c>
      <c r="E45" s="25" t="n">
        <f aca="false">IF(ISNUMBER(D45),C45/D45,"")</f>
        <v>1.09929658105676</v>
      </c>
      <c r="F45" s="25" t="n">
        <f aca="false">IF(AND($A45+(-24)&gt;=1,$A45+(-24)&lt;=$B$8),INDEX($E$12:$E$59,$A45+(-24)),"")</f>
        <v>0.953670705630791</v>
      </c>
      <c r="G45" s="25" t="n">
        <f aca="false">IF(AND($A45+(-12)&gt;=1,$A45+(-12)&lt;=$B$8),INDEX($E$12:$E$59,$A45+(-12)),"")</f>
        <v>1.04029800203183</v>
      </c>
      <c r="H45" s="25" t="n">
        <f aca="false">IF(AND($A45+(0)&gt;=1,$A45+(0)&lt;=$B$8),INDEX($E$12:$E$59,$A45+(0)),"")</f>
        <v>1.09929658105676</v>
      </c>
      <c r="I45" s="25" t="str">
        <f aca="false">IF(AND($A45+(12)&gt;=1,$A45+(12)&lt;=$B$8),INDEX($E$12:$E$59,$A45+(12)),"")</f>
        <v/>
      </c>
      <c r="J45" s="25" t="str">
        <f aca="false">IF(AND($A45+(24)&gt;=1,$A45+(24)&lt;=$B$8),INDEX($E$12:$E$59,$A45+(24)),"")</f>
        <v/>
      </c>
      <c r="K45" s="25" t="n">
        <f aca="false">IF(SUMPRODUCT(Bobot_Filter!$B$38:$F$38,ISNUMBER(F45:J45)*1)&gt;0,SUMPRODUCT(Bobot_Filter!$B$38:$F$38,F45:J45)/SUMPRODUCT(Bobot_Filter!$B$38:$F$38,ISNUMBER(F45:J45)*1),"")</f>
        <v>1.05535940881079</v>
      </c>
      <c r="L45" s="25" t="n">
        <f aca="false">IF(AND($A45&gt;=$B$6,$A45&lt;=$B$7),SUMPRODUCT(Bobot_Filter!$B$4:$B$16,K39:K51),"")</f>
        <v>0.996489380376341</v>
      </c>
      <c r="M45" s="25" t="n">
        <f aca="false">K45/INDEX($L$12:$L$59,MAX($B$6,MIN($A45,$B$7)))</f>
        <v>1.05907742680832</v>
      </c>
      <c r="N45" s="27" t="n">
        <f aca="false">C45/M45</f>
        <v>264.381047987983</v>
      </c>
      <c r="O45" s="27" t="n">
        <f aca="false">IF(AND($A45&gt;=$B$6,$A45&lt;=$B$7),SUMPRODUCT(Bobot_Filter!$B$20:$B$32,N39:N51),"")</f>
        <v>255.884037347015</v>
      </c>
      <c r="P45" s="25" t="n">
        <f aca="false">IF(ISNUMBER(O45),C45/O45,"")</f>
        <v>1.09424567043344</v>
      </c>
      <c r="Q45" s="25" t="str">
        <f aca="false">IF(AND($A45+(-36)&gt;=1,$A45+(-36)&lt;=$B$8),INDEX($P$12:$P$59,$A45+(-36)),"")</f>
        <v/>
      </c>
      <c r="R45" s="25" t="n">
        <f aca="false">IF(AND($A45+(-24)&gt;=1,$A45+(-24)&lt;=$B$8),INDEX($P$12:$P$59,$A45+(-24)),"")</f>
        <v>0.985456752932791</v>
      </c>
      <c r="S45" s="25" t="n">
        <f aca="false">IF(AND($A45+(-12)&gt;=1,$A45+(-12)&lt;=$B$8),INDEX($P$12:$P$59,$A45+(-12)),"")</f>
        <v>1.03243853555861</v>
      </c>
      <c r="T45" s="25" t="n">
        <f aca="false">IF(AND($A45+(0)&gt;=1,$A45+(0)&lt;=$B$8),INDEX($P$12:$P$59,$A45+(0)),"")</f>
        <v>1.09424567043344</v>
      </c>
      <c r="U45" s="25" t="str">
        <f aca="false">IF(AND($A45+(12)&gt;=1,$A45+(12)&lt;=$B$8),INDEX($P$12:$P$59,$A45+(12)),"")</f>
        <v/>
      </c>
      <c r="V45" s="25" t="str">
        <f aca="false">IF(AND($A45+(24)&gt;=1,$A45+(24)&lt;=$B$8),INDEX($P$12:$P$59,$A45+(24)),"")</f>
        <v/>
      </c>
      <c r="W45" s="25" t="str">
        <f aca="false">IF(AND($A45+(36)&gt;=1,$A45+(36)&lt;=$B$8),INDEX($P$12:$P$59,$A45+(36)),"")</f>
        <v/>
      </c>
      <c r="X45" s="25" t="n">
        <f aca="false">IF(SUMPRODUCT(Bobot_Filter!$B$43:$H$43,ISNUMBER(Q45:W45)*1)&gt;0,SUMPRODUCT(Bobot_Filter!$B$43:$H$43,Q45:W45)/SUMPRODUCT(Bobot_Filter!$B$43:$H$43,ISNUMBER(Q45:W45)*1),"")</f>
        <v>1.04387076548022</v>
      </c>
      <c r="Y45" s="25" t="n">
        <f aca="false">IF(AND($A45&gt;=$B$6,$A45&lt;=$B$7),SUMPRODUCT(Bobot_Filter!$B$4:$B$16,X39:X51),"")</f>
        <v>0.998338983387895</v>
      </c>
      <c r="Z45" s="33" t="n">
        <f aca="false">X45/INDEX($Y$12:$Y$59,MAX($B$6,MIN($A45,$B$7)))</f>
        <v>1.04560753696887</v>
      </c>
      <c r="AA45" s="27" t="n">
        <f aca="false">C45/Z45</f>
        <v>267.78689909954</v>
      </c>
      <c r="AB45" s="27" t="n">
        <f aca="false">IF(AND($A45&gt;=$B$6,$A45&lt;=$B$7),SUMPRODUCT(Bobot_Filter!$B$20:$B$32,AA39:AA51),"")</f>
        <v>257.133188329802</v>
      </c>
      <c r="AC45" s="25" t="n">
        <f aca="false">IF(ISNUMBER(AB45),AA45/AB45,"")</f>
        <v>1.04143265534464</v>
      </c>
      <c r="AD45" s="27" t="n">
        <f aca="false">$B$4+$B$3*A45</f>
        <v>254.178597716572</v>
      </c>
      <c r="AE45" s="27" t="n">
        <f aca="false">AD45*Z45</f>
        <v>265.771057508625</v>
      </c>
      <c r="AF45" s="28" t="n">
        <f aca="false">ABS(C45-AE45)/C45</f>
        <v>0.0508176517549099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Data!E39</f>
        <v>293</v>
      </c>
      <c r="D46" s="27" t="n">
        <f aca="false">IF(AND($A46&gt;=$B$6,$A46&lt;=$B$7),SUMPRODUCT(Bobot_Filter!$B$4:$B$16,C40:C52),"")</f>
        <v>253.666666666667</v>
      </c>
      <c r="E46" s="25" t="n">
        <f aca="false">IF(ISNUMBER(D46),C46/D46,"")</f>
        <v>1.15505913272011</v>
      </c>
      <c r="F46" s="25" t="n">
        <f aca="false">IF(AND($A46+(-24)&gt;=1,$A46+(-24)&lt;=$B$8),INDEX($E$12:$E$59,$A46+(-24)),"")</f>
        <v>1.25571428571429</v>
      </c>
      <c r="G46" s="25" t="n">
        <f aca="false">IF(AND($A46+(-12)&gt;=1,$A46+(-12)&lt;=$B$8),INDEX($E$12:$E$59,$A46+(-12)),"")</f>
        <v>1.24899598393574</v>
      </c>
      <c r="H46" s="25" t="n">
        <f aca="false">IF(AND($A46+(0)&gt;=1,$A46+(0)&lt;=$B$8),INDEX($E$12:$E$59,$A46+(0)),"")</f>
        <v>1.15505913272011</v>
      </c>
      <c r="I46" s="25" t="str">
        <f aca="false">IF(AND($A46+(12)&gt;=1,$A46+(12)&lt;=$B$8),INDEX($E$12:$E$59,$A46+(12)),"")</f>
        <v/>
      </c>
      <c r="J46" s="25" t="str">
        <f aca="false">IF(AND($A46+(24)&gt;=1,$A46+(24)&lt;=$B$8),INDEX($E$12:$E$59,$A46+(24)),"")</f>
        <v/>
      </c>
      <c r="K46" s="25" t="n">
        <f aca="false">IF(SUMPRODUCT(Bobot_Filter!$B$38:$F$38,ISNUMBER(F46:J46)*1)&gt;0,SUMPRODUCT(Bobot_Filter!$B$38:$F$38,F46:J46)/SUMPRODUCT(Bobot_Filter!$B$38:$F$38,ISNUMBER(F46:J46)*1),"")</f>
        <v>1.20314727529101</v>
      </c>
      <c r="L46" s="25" t="n">
        <f aca="false">IF(AND($A46&gt;=$B$6,$A46&lt;=$B$7),SUMPRODUCT(Bobot_Filter!$B$4:$B$16,K40:K52),"")</f>
        <v>0.996359245422592</v>
      </c>
      <c r="M46" s="25" t="n">
        <f aca="false">K46/INDEX($L$12:$L$59,MAX($B$6,MIN($A46,$B$7)))</f>
        <v>1.20754364534523</v>
      </c>
      <c r="N46" s="27" t="n">
        <f aca="false">C46/M46</f>
        <v>242.641333196892</v>
      </c>
      <c r="O46" s="27" t="n">
        <f aca="false">IF(AND($A46&gt;=$B$6,$A46&lt;=$B$7),SUMPRODUCT(Bobot_Filter!$B$20:$B$32,N40:N52),"")</f>
        <v>253.778752478117</v>
      </c>
      <c r="P46" s="25" t="n">
        <f aca="false">IF(ISNUMBER(O46),C46/O46,"")</f>
        <v>1.15454898071211</v>
      </c>
      <c r="Q46" s="25" t="str">
        <f aca="false">IF(AND($A46+(-36)&gt;=1,$A46+(-36)&lt;=$B$8),INDEX($P$12:$P$59,$A46+(-36)),"")</f>
        <v/>
      </c>
      <c r="R46" s="25" t="n">
        <f aca="false">IF(AND($A46+(-24)&gt;=1,$A46+(-24)&lt;=$B$8),INDEX($P$12:$P$59,$A46+(-24)),"")</f>
        <v>1.27496427834508</v>
      </c>
      <c r="S46" s="25" t="n">
        <f aca="false">IF(AND($A46+(-12)&gt;=1,$A46+(-12)&lt;=$B$8),INDEX($P$12:$P$59,$A46+(-12)),"")</f>
        <v>1.25672931797502</v>
      </c>
      <c r="T46" s="25" t="n">
        <f aca="false">IF(AND($A46+(0)&gt;=1,$A46+(0)&lt;=$B$8),INDEX($P$12:$P$59,$A46+(0)),"")</f>
        <v>1.15454898071211</v>
      </c>
      <c r="U46" s="25" t="str">
        <f aca="false">IF(AND($A46+(12)&gt;=1,$A46+(12)&lt;=$B$8),INDEX($P$12:$P$59,$A46+(12)),"")</f>
        <v/>
      </c>
      <c r="V46" s="25" t="str">
        <f aca="false">IF(AND($A46+(24)&gt;=1,$A46+(24)&lt;=$B$8),INDEX($P$12:$P$59,$A46+(24)),"")</f>
        <v/>
      </c>
      <c r="W46" s="25" t="str">
        <f aca="false">IF(AND($A46+(36)&gt;=1,$A46+(36)&lt;=$B$8),INDEX($P$12:$P$59,$A46+(36)),"")</f>
        <v/>
      </c>
      <c r="X46" s="25" t="n">
        <f aca="false">IF(SUMPRODUCT(Bobot_Filter!$B$43:$H$43,ISNUMBER(Q46:W46)*1)&gt;0,SUMPRODUCT(Bobot_Filter!$B$43:$H$43,Q46:W46)/SUMPRODUCT(Bobot_Filter!$B$43:$H$43,ISNUMBER(Q46:W46)*1),"")</f>
        <v>1.22297043159394</v>
      </c>
      <c r="Y46" s="25" t="n">
        <f aca="false">IF(AND($A46&gt;=$B$6,$A46&lt;=$B$7),SUMPRODUCT(Bobot_Filter!$B$4:$B$16,X40:X52),"")</f>
        <v>0.998664815459772</v>
      </c>
      <c r="Z46" s="33" t="n">
        <f aca="false">X46/INDEX($Y$12:$Y$59,MAX($B$6,MIN($A46,$B$7)))</f>
        <v>1.22460550593334</v>
      </c>
      <c r="AA46" s="27" t="n">
        <f aca="false">C46/Z46</f>
        <v>239.260724029399</v>
      </c>
      <c r="AB46" s="27" t="n">
        <f aca="false">IF(AND($A46&gt;=$B$6,$A46&lt;=$B$7),SUMPRODUCT(Bobot_Filter!$B$20:$B$32,AA40:AA52),"")</f>
        <v>253.909827424172</v>
      </c>
      <c r="AC46" s="25" t="n">
        <f aca="false">IF(ISNUMBER(AB46),AA46/AB46,"")</f>
        <v>0.942305882590749</v>
      </c>
      <c r="AD46" s="27" t="n">
        <f aca="false">$B$4+$B$3*A46</f>
        <v>255.028265283652</v>
      </c>
      <c r="AE46" s="27" t="n">
        <f aca="false">AD46*Z46</f>
        <v>312.309017834989</v>
      </c>
      <c r="AF46" s="28" t="n">
        <f aca="false">ABS(C46-AE46)/C46</f>
        <v>0.0659010847610548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Data!E40</f>
        <v>241</v>
      </c>
      <c r="D47" s="27" t="n">
        <f aca="false">IF(AND($A47&gt;=$B$6,$A47&lt;=$B$7),SUMPRODUCT(Bobot_Filter!$B$4:$B$16,C41:C53),"")</f>
        <v>253.208333333333</v>
      </c>
      <c r="E47" s="25" t="n">
        <f aca="false">IF(ISNUMBER(D47),C47/D47,"")</f>
        <v>0.951785420437716</v>
      </c>
      <c r="F47" s="25" t="n">
        <f aca="false">IF(AND($A47+(-24)&gt;=1,$A47+(-24)&lt;=$B$8),INDEX($E$12:$E$59,$A47+(-24)),"")</f>
        <v>1.03488996242619</v>
      </c>
      <c r="G47" s="25" t="n">
        <f aca="false">IF(AND($A47+(-12)&gt;=1,$A47+(-12)&lt;=$B$8),INDEX($E$12:$E$59,$A47+(-12)),"")</f>
        <v>0.92123629112662</v>
      </c>
      <c r="H47" s="25" t="n">
        <f aca="false">IF(AND($A47+(0)&gt;=1,$A47+(0)&lt;=$B$8),INDEX($E$12:$E$59,$A47+(0)),"")</f>
        <v>0.951785420437716</v>
      </c>
      <c r="I47" s="25" t="str">
        <f aca="false">IF(AND($A47+(12)&gt;=1,$A47+(12)&lt;=$B$8),INDEX($E$12:$E$59,$A47+(12)),"")</f>
        <v/>
      </c>
      <c r="J47" s="25" t="str">
        <f aca="false">IF(AND($A47+(24)&gt;=1,$A47+(24)&lt;=$B$8),INDEX($E$12:$E$59,$A47+(24)),"")</f>
        <v/>
      </c>
      <c r="K47" s="25" t="n">
        <f aca="false">IF(SUMPRODUCT(Bobot_Filter!$B$38:$F$38,ISNUMBER(F47:J47)*1)&gt;0,SUMPRODUCT(Bobot_Filter!$B$38:$F$38,F47:J47)/SUMPRODUCT(Bobot_Filter!$B$38:$F$38,ISNUMBER(F47:J47)*1),"")</f>
        <v>0.955453134332097</v>
      </c>
      <c r="L47" s="25" t="n">
        <f aca="false">IF(AND($A47&gt;=$B$6,$A47&lt;=$B$7),SUMPRODUCT(Bobot_Filter!$B$4:$B$16,K41:K53),"")</f>
        <v>0.996186634668429</v>
      </c>
      <c r="M47" s="25" t="n">
        <f aca="false">K47/INDEX($L$12:$L$59,MAX($B$6,MIN($A47,$B$7)))</f>
        <v>0.959110573341622</v>
      </c>
      <c r="N47" s="27" t="n">
        <f aca="false">C47/M47</f>
        <v>251.274468970075</v>
      </c>
      <c r="O47" s="27" t="n">
        <f aca="false">IF(AND($A47&gt;=$B$6,$A47&lt;=$B$7),SUMPRODUCT(Bobot_Filter!$B$20:$B$32,N41:N53),"")</f>
        <v>251.339522244298</v>
      </c>
      <c r="P47" s="25" t="n">
        <f aca="false">IF(ISNUMBER(O47),C47/O47,"")</f>
        <v>0.958862330317284</v>
      </c>
      <c r="Q47" s="25" t="str">
        <f aca="false">IF(AND($A47+(-36)&gt;=1,$A47+(-36)&lt;=$B$8),INDEX($P$12:$P$59,$A47+(-36)),"")</f>
        <v/>
      </c>
      <c r="R47" s="25" t="n">
        <f aca="false">IF(AND($A47+(-24)&gt;=1,$A47+(-24)&lt;=$B$8),INDEX($P$12:$P$59,$A47+(-24)),"")</f>
        <v>1.02916637856054</v>
      </c>
      <c r="S47" s="25" t="n">
        <f aca="false">IF(AND($A47+(-12)&gt;=1,$A47+(-12)&lt;=$B$8),INDEX($P$12:$P$59,$A47+(-12)),"")</f>
        <v>0.932430515783195</v>
      </c>
      <c r="T47" s="25" t="n">
        <f aca="false">IF(AND($A47+(0)&gt;=1,$A47+(0)&lt;=$B$8),INDEX($P$12:$P$59,$A47+(0)),"")</f>
        <v>0.958862330317284</v>
      </c>
      <c r="U47" s="25" t="str">
        <f aca="false">IF(AND($A47+(12)&gt;=1,$A47+(12)&lt;=$B$8),INDEX($P$12:$P$59,$A47+(12)),"")</f>
        <v/>
      </c>
      <c r="V47" s="25" t="str">
        <f aca="false">IF(AND($A47+(24)&gt;=1,$A47+(24)&lt;=$B$8),INDEX($P$12:$P$59,$A47+(24)),"")</f>
        <v/>
      </c>
      <c r="W47" s="25" t="str">
        <f aca="false">IF(AND($A47+(36)&gt;=1,$A47+(36)&lt;=$B$8),INDEX($P$12:$P$59,$A47+(36)),"")</f>
        <v/>
      </c>
      <c r="X47" s="25" t="n">
        <f aca="false">IF(SUMPRODUCT(Bobot_Filter!$B$43:$H$43,ISNUMBER(Q47:W47)*1)&gt;0,SUMPRODUCT(Bobot_Filter!$B$43:$H$43,Q47:W47)/SUMPRODUCT(Bobot_Filter!$B$43:$H$43,ISNUMBER(Q47:W47)*1),"")</f>
        <v>0.966526411927815</v>
      </c>
      <c r="Y47" s="25" t="n">
        <f aca="false">IF(AND($A47&gt;=$B$6,$A47&lt;=$B$7),SUMPRODUCT(Bobot_Filter!$B$4:$B$16,X41:X53),"")</f>
        <v>0.998674103996342</v>
      </c>
      <c r="Z47" s="33" t="n">
        <f aca="false">X47/INDEX($Y$12:$Y$59,MAX($B$6,MIN($A47,$B$7)))</f>
        <v>0.96780962684435</v>
      </c>
      <c r="AA47" s="27" t="n">
        <f aca="false">C47/Z47</f>
        <v>249.015915233047</v>
      </c>
      <c r="AB47" s="27" t="n">
        <f aca="false">IF(AND($A47&gt;=$B$6,$A47&lt;=$B$7),SUMPRODUCT(Bobot_Filter!$B$20:$B$32,AA41:AA53),"")</f>
        <v>250.277933208331</v>
      </c>
      <c r="AC47" s="25" t="n">
        <f aca="false">IF(ISNUMBER(AB47),AA47/AB47,"")</f>
        <v>0.99495753397391</v>
      </c>
      <c r="AD47" s="27" t="n">
        <f aca="false">$B$4+$B$3*A47</f>
        <v>255.877932850731</v>
      </c>
      <c r="AE47" s="27" t="n">
        <f aca="false">AD47*Z47</f>
        <v>247.64112670997</v>
      </c>
      <c r="AF47" s="28" t="n">
        <f aca="false">ABS(C47-AE47)/C47</f>
        <v>0.0275565423650205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Data!E41</f>
        <v>233</v>
      </c>
      <c r="D48" s="27" t="n">
        <f aca="false">IF(AND($A48&gt;=$B$6,$A48&lt;=$B$7),SUMPRODUCT(Bobot_Filter!$B$4:$B$16,C42:C54),"")</f>
        <v>253.833333333333</v>
      </c>
      <c r="E48" s="25" t="n">
        <f aca="false">IF(ISNUMBER(D48),C48/D48,"")</f>
        <v>0.917925147734734</v>
      </c>
      <c r="F48" s="25" t="n">
        <f aca="false">IF(AND($A48+(-24)&gt;=1,$A48+(-24)&lt;=$B$8),INDEX($E$12:$E$59,$A48+(-24)),"")</f>
        <v>0.977841315225161</v>
      </c>
      <c r="G48" s="25" t="n">
        <f aca="false">IF(AND($A48+(-12)&gt;=1,$A48+(-12)&lt;=$B$8),INDEX($E$12:$E$59,$A48+(-12)),"")</f>
        <v>0.927055702917772</v>
      </c>
      <c r="H48" s="25" t="n">
        <f aca="false">IF(AND($A48+(0)&gt;=1,$A48+(0)&lt;=$B$8),INDEX($E$12:$E$59,$A48+(0)),"")</f>
        <v>0.917925147734734</v>
      </c>
      <c r="I48" s="25" t="str">
        <f aca="false">IF(AND($A48+(12)&gt;=1,$A48+(12)&lt;=$B$8),INDEX($E$12:$E$59,$A48+(12)),"")</f>
        <v/>
      </c>
      <c r="J48" s="25" t="str">
        <f aca="false">IF(AND($A48+(24)&gt;=1,$A48+(24)&lt;=$B$8),INDEX($E$12:$E$59,$A48+(24)),"")</f>
        <v/>
      </c>
      <c r="K48" s="25" t="n">
        <f aca="false">IF(SUMPRODUCT(Bobot_Filter!$B$38:$F$38,ISNUMBER(F48:J48)*1)&gt;0,SUMPRODUCT(Bobot_Filter!$B$38:$F$38,F48:J48)/SUMPRODUCT(Bobot_Filter!$B$38:$F$38,ISNUMBER(F48:J48)*1),"")</f>
        <v>0.930954694044151</v>
      </c>
      <c r="L48" s="25" t="n">
        <f aca="false">IF(AND($A48&gt;=$B$6,$A48&lt;=$B$7),SUMPRODUCT(Bobot_Filter!$B$4:$B$16,K42:K54),"")</f>
        <v>0.995670889227449</v>
      </c>
      <c r="M48" s="25" t="n">
        <f aca="false">K48/INDEX($L$12:$L$59,MAX($B$6,MIN($A48,$B$7)))</f>
        <v>0.935002423106382</v>
      </c>
      <c r="N48" s="27" t="n">
        <f aca="false">C48/M48</f>
        <v>249.197215153623</v>
      </c>
      <c r="O48" s="27" t="n">
        <f aca="false">IF(AND($A48&gt;=$B$6,$A48&lt;=$B$7),SUMPRODUCT(Bobot_Filter!$B$20:$B$32,N42:N54),"")</f>
        <v>249.342811180553</v>
      </c>
      <c r="P48" s="25" t="n">
        <f aca="false">IF(ISNUMBER(O48),C48/O48,"")</f>
        <v>0.934456457344108</v>
      </c>
      <c r="Q48" s="25" t="str">
        <f aca="false">IF(AND($A48+(-36)&gt;=1,$A48+(-36)&lt;=$B$8),INDEX($P$12:$P$59,$A48+(-36)),"")</f>
        <v/>
      </c>
      <c r="R48" s="25" t="n">
        <f aca="false">IF(AND($A48+(-24)&gt;=1,$A48+(-24)&lt;=$B$8),INDEX($P$12:$P$59,$A48+(-24)),"")</f>
        <v>0.961423569461243</v>
      </c>
      <c r="S48" s="25" t="n">
        <f aca="false">IF(AND($A48+(-12)&gt;=1,$A48+(-12)&lt;=$B$8),INDEX($P$12:$P$59,$A48+(-12)),"")</f>
        <v>0.933477695156803</v>
      </c>
      <c r="T48" s="25" t="n">
        <f aca="false">IF(AND($A48+(0)&gt;=1,$A48+(0)&lt;=$B$8),INDEX($P$12:$P$59,$A48+(0)),"")</f>
        <v>0.934456457344108</v>
      </c>
      <c r="U48" s="25" t="str">
        <f aca="false">IF(AND($A48+(12)&gt;=1,$A48+(12)&lt;=$B$8),INDEX($P$12:$P$59,$A48+(12)),"")</f>
        <v/>
      </c>
      <c r="V48" s="25" t="str">
        <f aca="false">IF(AND($A48+(24)&gt;=1,$A48+(24)&lt;=$B$8),INDEX($P$12:$P$59,$A48+(24)),"")</f>
        <v/>
      </c>
      <c r="W48" s="25" t="str">
        <f aca="false">IF(AND($A48+(36)&gt;=1,$A48+(36)&lt;=$B$8),INDEX($P$12:$P$59,$A48+(36)),"")</f>
        <v/>
      </c>
      <c r="X48" s="25" t="n">
        <f aca="false">IF(SUMPRODUCT(Bobot_Filter!$B$43:$H$43,ISNUMBER(Q48:W48)*1)&gt;0,SUMPRODUCT(Bobot_Filter!$B$43:$H$43,Q48:W48)/SUMPRODUCT(Bobot_Filter!$B$43:$H$43,ISNUMBER(Q48:W48)*1),"")</f>
        <v>0.940831199553152</v>
      </c>
      <c r="Y48" s="25" t="n">
        <f aca="false">IF(AND($A48&gt;=$B$6,$A48&lt;=$B$7),SUMPRODUCT(Bobot_Filter!$B$4:$B$16,X42:X54),"")</f>
        <v>0.998156742210162</v>
      </c>
      <c r="Z48" s="33" t="n">
        <f aca="false">X48/INDEX($Y$12:$Y$59,MAX($B$6,MIN($A48,$B$7)))</f>
        <v>0.942568596461035</v>
      </c>
      <c r="AA48" s="27" t="n">
        <f aca="false">C48/Z48</f>
        <v>247.196862779877</v>
      </c>
      <c r="AB48" s="27" t="n">
        <f aca="false">IF(AND($A48&gt;=$B$6,$A48&lt;=$B$7),SUMPRODUCT(Bobot_Filter!$B$20:$B$32,AA42:AA54),"")</f>
        <v>247.423299195505</v>
      </c>
      <c r="AC48" s="25" t="n">
        <f aca="false">IF(ISNUMBER(AB48),AA48/AB48,"")</f>
        <v>0.99908482177562</v>
      </c>
      <c r="AD48" s="27" t="n">
        <f aca="false">$B$4+$B$3*A48</f>
        <v>256.727600417811</v>
      </c>
      <c r="AE48" s="27" t="n">
        <f aca="false">AD48*Z48</f>
        <v>241.983373998626</v>
      </c>
      <c r="AF48" s="28" t="n">
        <f aca="false">ABS(C48-AE48)/C48</f>
        <v>0.0385552532129852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Data!E42</f>
        <v>258</v>
      </c>
      <c r="D49" s="27" t="n">
        <f aca="false">IF(AND($A49&gt;=$B$6,$A49&lt;=$B$7),SUMPRODUCT(Bobot_Filter!$B$4:$B$16,C43:C55),"")</f>
        <v>254.375</v>
      </c>
      <c r="E49" s="25" t="n">
        <f aca="false">IF(ISNUMBER(D49),C49/D49,"")</f>
        <v>1.01425061425061</v>
      </c>
      <c r="F49" s="25" t="n">
        <f aca="false">IF(AND($A49+(-24)&gt;=1,$A49+(-24)&lt;=$B$8),INDEX($E$12:$E$59,$A49+(-24)),"")</f>
        <v>1.04700854700855</v>
      </c>
      <c r="G49" s="25" t="n">
        <f aca="false">IF(AND($A49+(-12)&gt;=1,$A49+(-12)&lt;=$B$8),INDEX($E$12:$E$59,$A49+(-12)),"")</f>
        <v>1.05450941526264</v>
      </c>
      <c r="H49" s="25" t="n">
        <f aca="false">IF(AND($A49+(0)&gt;=1,$A49+(0)&lt;=$B$8),INDEX($E$12:$E$59,$A49+(0)),"")</f>
        <v>1.01425061425061</v>
      </c>
      <c r="I49" s="25" t="str">
        <f aca="false">IF(AND($A49+(12)&gt;=1,$A49+(12)&lt;=$B$8),INDEX($E$12:$E$59,$A49+(12)),"")</f>
        <v/>
      </c>
      <c r="J49" s="25" t="str">
        <f aca="false">IF(AND($A49+(24)&gt;=1,$A49+(24)&lt;=$B$8),INDEX($E$12:$E$59,$A49+(24)),"")</f>
        <v/>
      </c>
      <c r="K49" s="25" t="n">
        <f aca="false">IF(SUMPRODUCT(Bobot_Filter!$B$38:$F$38,ISNUMBER(F49:J49)*1)&gt;0,SUMPRODUCT(Bobot_Filter!$B$38:$F$38,F49:J49)/SUMPRODUCT(Bobot_Filter!$B$38:$F$38,ISNUMBER(F49:J49)*1),"")</f>
        <v>1.03312987004761</v>
      </c>
      <c r="L49" s="25" t="n">
        <f aca="false">IF(AND($A49&gt;=$B$6,$A49&lt;=$B$7),SUMPRODUCT(Bobot_Filter!$B$4:$B$16,K43:K55),"")</f>
        <v>0.995428862928959</v>
      </c>
      <c r="M49" s="25" t="n">
        <f aca="false">K49/INDEX($L$12:$L$59,MAX($B$6,MIN($A49,$B$7)))</f>
        <v>1.0378741349811</v>
      </c>
      <c r="N49" s="27" t="n">
        <f aca="false">C49/M49</f>
        <v>248.585056033503</v>
      </c>
      <c r="O49" s="27" t="n">
        <f aca="false">IF(AND($A49&gt;=$B$6,$A49&lt;=$B$7),SUMPRODUCT(Bobot_Filter!$B$20:$B$32,N43:N55),"")</f>
        <v>249.041914425964</v>
      </c>
      <c r="P49" s="25" t="n">
        <f aca="false">IF(ISNUMBER(O49),C49/O49,"")</f>
        <v>1.03597019238583</v>
      </c>
      <c r="Q49" s="25" t="str">
        <f aca="false">IF(AND($A49+(-36)&gt;=1,$A49+(-36)&lt;=$B$8),INDEX($P$12:$P$59,$A49+(-36)),"")</f>
        <v/>
      </c>
      <c r="R49" s="25" t="n">
        <f aca="false">IF(AND($A49+(-24)&gt;=1,$A49+(-24)&lt;=$B$8),INDEX($P$12:$P$59,$A49+(-24)),"")</f>
        <v>1.02906931417317</v>
      </c>
      <c r="S49" s="25" t="n">
        <f aca="false">IF(AND($A49+(-12)&gt;=1,$A49+(-12)&lt;=$B$8),INDEX($P$12:$P$59,$A49+(-12)),"")</f>
        <v>1.05297879733018</v>
      </c>
      <c r="T49" s="25" t="n">
        <f aca="false">IF(AND($A49+(0)&gt;=1,$A49+(0)&lt;=$B$8),INDEX($P$12:$P$59,$A49+(0)),"")</f>
        <v>1.03597019238583</v>
      </c>
      <c r="U49" s="25" t="str">
        <f aca="false">IF(AND($A49+(12)&gt;=1,$A49+(12)&lt;=$B$8),INDEX($P$12:$P$59,$A49+(12)),"")</f>
        <v/>
      </c>
      <c r="V49" s="25" t="str">
        <f aca="false">IF(AND($A49+(24)&gt;=1,$A49+(24)&lt;=$B$8),INDEX($P$12:$P$59,$A49+(24)),"")</f>
        <v/>
      </c>
      <c r="W49" s="25" t="str">
        <f aca="false">IF(AND($A49+(36)&gt;=1,$A49+(36)&lt;=$B$8),INDEX($P$12:$P$59,$A49+(36)),"")</f>
        <v/>
      </c>
      <c r="X49" s="25" t="n">
        <f aca="false">IF(SUMPRODUCT(Bobot_Filter!$B$43:$H$43,ISNUMBER(Q49:W49)*1)&gt;0,SUMPRODUCT(Bobot_Filter!$B$43:$H$43,Q49:W49)/SUMPRODUCT(Bobot_Filter!$B$43:$H$43,ISNUMBER(Q49:W49)*1),"")</f>
        <v>1.0406231996868</v>
      </c>
      <c r="Y49" s="25" t="n">
        <f aca="false">IF(AND($A49&gt;=$B$6,$A49&lt;=$B$7),SUMPRODUCT(Bobot_Filter!$B$4:$B$16,X43:X55),"")</f>
        <v>0.997754884103854</v>
      </c>
      <c r="Z49" s="33" t="n">
        <f aca="false">X49/INDEX($Y$12:$Y$59,MAX($B$6,MIN($A49,$B$7)))</f>
        <v>1.0429647764856</v>
      </c>
      <c r="AA49" s="27" t="n">
        <f aca="false">C49/Z49</f>
        <v>247.371728956525</v>
      </c>
      <c r="AB49" s="27" t="n">
        <f aca="false">IF(AND($A49&gt;=$B$6,$A49&lt;=$B$7),SUMPRODUCT(Bobot_Filter!$B$20:$B$32,AA43:AA55),"")</f>
        <v>246.806676554306</v>
      </c>
      <c r="AC49" s="25" t="n">
        <f aca="false">IF(ISNUMBER(AB49),AA49/AB49,"")</f>
        <v>1.00228945347066</v>
      </c>
      <c r="AD49" s="27" t="n">
        <f aca="false">$B$4+$B$3*A49</f>
        <v>257.57726798489</v>
      </c>
      <c r="AE49" s="27" t="n">
        <f aca="false">AD49*Z49</f>
        <v>268.644017731634</v>
      </c>
      <c r="AF49" s="28" t="n">
        <f aca="false">ABS(C49-AE49)/C49</f>
        <v>0.0412558826807517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Data!E43</f>
        <v>225</v>
      </c>
      <c r="D50" s="27" t="n">
        <f aca="false">IF(AND($A50&gt;=$B$6,$A50&lt;=$B$7),SUMPRODUCT(Bobot_Filter!$B$4:$B$16,C44:C56),"")</f>
        <v>254.666666666667</v>
      </c>
      <c r="E50" s="25" t="n">
        <f aca="false">IF(ISNUMBER(D50),C50/D50,"")</f>
        <v>0.883507853403141</v>
      </c>
      <c r="F50" s="25" t="n">
        <f aca="false">IF(AND($A50+(-24)&gt;=1,$A50+(-24)&lt;=$B$8),INDEX($E$12:$E$59,$A50+(-24)),"")</f>
        <v>0.94208766062313</v>
      </c>
      <c r="G50" s="25" t="n">
        <f aca="false">IF(AND($A50+(-12)&gt;=1,$A50+(-12)&lt;=$B$8),INDEX($E$12:$E$59,$A50+(-12)),"")</f>
        <v>0.89064039408867</v>
      </c>
      <c r="H50" s="25" t="n">
        <f aca="false">IF(AND($A50+(0)&gt;=1,$A50+(0)&lt;=$B$8),INDEX($E$12:$E$59,$A50+(0)),"")</f>
        <v>0.883507853403141</v>
      </c>
      <c r="I50" s="25" t="str">
        <f aca="false">IF(AND($A50+(12)&gt;=1,$A50+(12)&lt;=$B$8),INDEX($E$12:$E$59,$A50+(12)),"")</f>
        <v/>
      </c>
      <c r="J50" s="25" t="str">
        <f aca="false">IF(AND($A50+(24)&gt;=1,$A50+(24)&lt;=$B$8),INDEX($E$12:$E$59,$A50+(24)),"")</f>
        <v/>
      </c>
      <c r="K50" s="25" t="n">
        <f aca="false">IF(SUMPRODUCT(Bobot_Filter!$B$38:$F$38,ISNUMBER(F50:J50)*1)&gt;0,SUMPRODUCT(Bobot_Filter!$B$38:$F$38,F50:J50)/SUMPRODUCT(Bobot_Filter!$B$38:$F$38,ISNUMBER(F50:J50)*1),"")</f>
        <v>0.895648668168316</v>
      </c>
      <c r="L50" s="25" t="n">
        <f aca="false">IF(AND($A50&gt;=$B$6,$A50&lt;=$B$7),SUMPRODUCT(Bobot_Filter!$B$4:$B$16,K44:K56),"")</f>
        <v>0.997094320435575</v>
      </c>
      <c r="M50" s="25" t="n">
        <f aca="false">K50/INDEX($L$12:$L$59,MAX($B$6,MIN($A50,$B$7)))</f>
        <v>0.898258720175095</v>
      </c>
      <c r="N50" s="27" t="n">
        <f aca="false">C50/M50</f>
        <v>250.48462647392</v>
      </c>
      <c r="O50" s="27" t="n">
        <f aca="false">IF(AND($A50&gt;=$B$6,$A50&lt;=$B$7),SUMPRODUCT(Bobot_Filter!$B$20:$B$32,N44:N56),"")</f>
        <v>250.467908943019</v>
      </c>
      <c r="P50" s="25" t="n">
        <f aca="false">IF(ISNUMBER(O50),C50/O50,"")</f>
        <v>0.898318674633833</v>
      </c>
      <c r="Q50" s="25" t="str">
        <f aca="false">IF(AND($A50+(-36)&gt;=1,$A50+(-36)&lt;=$B$8),INDEX($P$12:$P$59,$A50+(-36)),"")</f>
        <v/>
      </c>
      <c r="R50" s="25" t="n">
        <f aca="false">IF(AND($A50+(-24)&gt;=1,$A50+(-24)&lt;=$B$8),INDEX($P$12:$P$59,$A50+(-24)),"")</f>
        <v>0.939866509284494</v>
      </c>
      <c r="S50" s="25" t="n">
        <f aca="false">IF(AND($A50+(-12)&gt;=1,$A50+(-12)&lt;=$B$8),INDEX($P$12:$P$59,$A50+(-12)),"")</f>
        <v>0.883702055395255</v>
      </c>
      <c r="T50" s="25" t="n">
        <f aca="false">IF(AND($A50+(0)&gt;=1,$A50+(0)&lt;=$B$8),INDEX($P$12:$P$59,$A50+(0)),"")</f>
        <v>0.898318674633833</v>
      </c>
      <c r="U50" s="25" t="str">
        <f aca="false">IF(AND($A50+(12)&gt;=1,$A50+(12)&lt;=$B$8),INDEX($P$12:$P$59,$A50+(12)),"")</f>
        <v/>
      </c>
      <c r="V50" s="25" t="str">
        <f aca="false">IF(AND($A50+(24)&gt;=1,$A50+(24)&lt;=$B$8),INDEX($P$12:$P$59,$A50+(24)),"")</f>
        <v/>
      </c>
      <c r="W50" s="25" t="str">
        <f aca="false">IF(AND($A50+(36)&gt;=1,$A50+(36)&lt;=$B$8),INDEX($P$12:$P$59,$A50+(36)),"")</f>
        <v/>
      </c>
      <c r="X50" s="25" t="n">
        <f aca="false">IF(SUMPRODUCT(Bobot_Filter!$B$43:$H$43,ISNUMBER(Q50:W50)*1)&gt;0,SUMPRODUCT(Bobot_Filter!$B$43:$H$43,Q50:W50)/SUMPRODUCT(Bobot_Filter!$B$43:$H$43,ISNUMBER(Q50:W50)*1),"")</f>
        <v>0.903224401082032</v>
      </c>
      <c r="Y50" s="25" t="n">
        <f aca="false">IF(AND($A50&gt;=$B$6,$A50&lt;=$B$7),SUMPRODUCT(Bobot_Filter!$B$4:$B$16,X44:X56),"")</f>
        <v>0.998406063878746</v>
      </c>
      <c r="Z50" s="33" t="n">
        <f aca="false">X50/INDEX($Y$12:$Y$59,MAX($B$6,MIN($A50,$B$7)))</f>
        <v>0.904666381505197</v>
      </c>
      <c r="AA50" s="27" t="n">
        <f aca="false">C50/Z50</f>
        <v>248.710468963865</v>
      </c>
      <c r="AB50" s="27" t="n">
        <f aca="false">IF(AND($A50&gt;=$B$6,$A50&lt;=$B$7),SUMPRODUCT(Bobot_Filter!$B$20:$B$32,AA44:AA56),"")</f>
        <v>248.311838245233</v>
      </c>
      <c r="AC50" s="25" t="n">
        <f aca="false">IF(ISNUMBER(AB50),AA50/AB50,"")</f>
        <v>1.00160536332641</v>
      </c>
      <c r="AD50" s="27" t="n">
        <f aca="false">$B$4+$B$3*A50</f>
        <v>258.42693555197</v>
      </c>
      <c r="AE50" s="27" t="n">
        <f aca="false">AD50*Z50</f>
        <v>233.790160669277</v>
      </c>
      <c r="AF50" s="28" t="n">
        <f aca="false">ABS(C50-AE50)/C50</f>
        <v>0.0390673807523443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Data!E44</f>
        <v>231</v>
      </c>
      <c r="D51" s="27" t="n">
        <f aca="false">IF(AND($A51&gt;=$B$6,$A51&lt;=$B$7),SUMPRODUCT(Bobot_Filter!$B$4:$B$16,C45:C57),"")</f>
        <v>257.25</v>
      </c>
      <c r="E51" s="25" t="n">
        <f aca="false">IF(ISNUMBER(D51),C51/D51,"")</f>
        <v>0.897959183673469</v>
      </c>
      <c r="F51" s="25" t="n">
        <f aca="false">IF(AND($A51+(-24)&gt;=1,$A51+(-24)&lt;=$B$8),INDEX($E$12:$E$59,$A51+(-24)),"")</f>
        <v>0.857886517438834</v>
      </c>
      <c r="G51" s="25" t="n">
        <f aca="false">IF(AND($A51+(-12)&gt;=1,$A51+(-12)&lt;=$B$8),INDEX($E$12:$E$59,$A51+(-12)),"")</f>
        <v>0.946853602869254</v>
      </c>
      <c r="H51" s="25" t="n">
        <f aca="false">IF(AND($A51+(0)&gt;=1,$A51+(0)&lt;=$B$8),INDEX($E$12:$E$59,$A51+(0)),"")</f>
        <v>0.897959183673469</v>
      </c>
      <c r="I51" s="25" t="str">
        <f aca="false">IF(AND($A51+(12)&gt;=1,$A51+(12)&lt;=$B$8),INDEX($E$12:$E$59,$A51+(12)),"")</f>
        <v/>
      </c>
      <c r="J51" s="25" t="str">
        <f aca="false">IF(AND($A51+(24)&gt;=1,$A51+(24)&lt;=$B$8),INDEX($E$12:$E$59,$A51+(24)),"")</f>
        <v/>
      </c>
      <c r="K51" s="25" t="n">
        <f aca="false">IF(SUMPRODUCT(Bobot_Filter!$B$38:$F$38,ISNUMBER(F51:J51)*1)&gt;0,SUMPRODUCT(Bobot_Filter!$B$38:$F$38,F51:J51)/SUMPRODUCT(Bobot_Filter!$B$38:$F$38,ISNUMBER(F51:J51)*1),"")</f>
        <v>0.907578545699625</v>
      </c>
      <c r="L51" s="25" t="n">
        <f aca="false">IF(AND($A51&gt;=$B$6,$A51&lt;=$B$7),SUMPRODUCT(Bobot_Filter!$B$4:$B$16,K45:K57),"")</f>
        <v>0.999535077728679</v>
      </c>
      <c r="M51" s="25" t="n">
        <f aca="false">K51/INDEX($L$12:$L$59,MAX($B$6,MIN($A51,$B$7)))</f>
        <v>0.908000695445312</v>
      </c>
      <c r="N51" s="27" t="n">
        <f aca="false">C51/M51</f>
        <v>254.40509149248</v>
      </c>
      <c r="O51" s="27" t="n">
        <f aca="false">IF(AND($A51&gt;=$B$6,$A51&lt;=$B$7),SUMPRODUCT(Bobot_Filter!$B$20:$B$32,N45:N57),"")</f>
        <v>251.87353124109</v>
      </c>
      <c r="P51" s="25" t="n">
        <f aca="false">IF(ISNUMBER(O51),C51/O51,"")</f>
        <v>0.917126936132445</v>
      </c>
      <c r="Q51" s="25" t="str">
        <f aca="false">IF(AND($A51+(-36)&gt;=1,$A51+(-36)&lt;=$B$8),INDEX($P$12:$P$59,$A51+(-36)),"")</f>
        <v/>
      </c>
      <c r="R51" s="25" t="n">
        <f aca="false">IF(AND($A51+(-24)&gt;=1,$A51+(-24)&lt;=$B$8),INDEX($P$12:$P$59,$A51+(-24)),"")</f>
        <v>0.871267741686081</v>
      </c>
      <c r="S51" s="25" t="n">
        <f aca="false">IF(AND($A51+(-12)&gt;=1,$A51+(-12)&lt;=$B$8),INDEX($P$12:$P$59,$A51+(-12)),"")</f>
        <v>0.937918513658555</v>
      </c>
      <c r="T51" s="25" t="n">
        <f aca="false">IF(AND($A51+(0)&gt;=1,$A51+(0)&lt;=$B$8),INDEX($P$12:$P$59,$A51+(0)),"")</f>
        <v>0.917126936132445</v>
      </c>
      <c r="U51" s="25" t="str">
        <f aca="false">IF(AND($A51+(12)&gt;=1,$A51+(12)&lt;=$B$8),INDEX($P$12:$P$59,$A51+(12)),"")</f>
        <v/>
      </c>
      <c r="V51" s="25" t="str">
        <f aca="false">IF(AND($A51+(24)&gt;=1,$A51+(24)&lt;=$B$8),INDEX($P$12:$P$59,$A51+(24)),"")</f>
        <v/>
      </c>
      <c r="W51" s="25" t="str">
        <f aca="false">IF(AND($A51+(36)&gt;=1,$A51+(36)&lt;=$B$8),INDEX($P$12:$P$59,$A51+(36)),"")</f>
        <v/>
      </c>
      <c r="X51" s="25" t="n">
        <f aca="false">IF(SUMPRODUCT(Bobot_Filter!$B$43:$H$43,ISNUMBER(Q51:W51)*1)&gt;0,SUMPRODUCT(Bobot_Filter!$B$43:$H$43,Q51:W51)/SUMPRODUCT(Bobot_Filter!$B$43:$H$43,ISNUMBER(Q51:W51)*1),"")</f>
        <v>0.913458979093145</v>
      </c>
      <c r="Y51" s="25" t="n">
        <f aca="false">IF(AND($A51&gt;=$B$6,$A51&lt;=$B$7),SUMPRODUCT(Bobot_Filter!$B$4:$B$16,X45:X57),"")</f>
        <v>0.999547997056744</v>
      </c>
      <c r="Z51" s="33" t="n">
        <f aca="false">X51/INDEX($Y$12:$Y$59,MAX($B$6,MIN($A51,$B$7)))</f>
        <v>0.913872051950387</v>
      </c>
      <c r="AA51" s="27" t="n">
        <f aca="false">C51/Z51</f>
        <v>252.770614340377</v>
      </c>
      <c r="AB51" s="27" t="n">
        <f aca="false">IF(AND($A51&gt;=$B$6,$A51&lt;=$B$7),SUMPRODUCT(Bobot_Filter!$B$20:$B$32,AA45:AA57),"")</f>
        <v>250.121860148325</v>
      </c>
      <c r="AC51" s="25" t="n">
        <f aca="false">IF(ISNUMBER(AB51),AA51/AB51,"")</f>
        <v>1.01058985484308</v>
      </c>
      <c r="AD51" s="27" t="n">
        <f aca="false">$B$4+$B$3*A51</f>
        <v>259.27660311905</v>
      </c>
      <c r="AE51" s="27" t="n">
        <f aca="false">AD51*Z51</f>
        <v>236.945641315132</v>
      </c>
      <c r="AF51" s="28" t="n">
        <f aca="false">ABS(C51-AE51)/C51</f>
        <v>0.0257387069919126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Data!E45</f>
        <v>227</v>
      </c>
      <c r="D52" s="27" t="n">
        <f aca="false">IF(AND($A52&gt;=$B$6,$A52&lt;=$B$7),SUMPRODUCT(Bobot_Filter!$B$4:$B$16,C46:C58),"")</f>
        <v>258.458333333333</v>
      </c>
      <c r="E52" s="25" t="n">
        <f aca="false">IF(ISNUMBER(D52),C52/D52,"")</f>
        <v>0.878284700951153</v>
      </c>
      <c r="F52" s="25" t="n">
        <f aca="false">IF(AND($A52+(-24)&gt;=1,$A52+(-24)&lt;=$B$8),INDEX($E$12:$E$59,$A52+(-24)),"")</f>
        <v>0.854489164086687</v>
      </c>
      <c r="G52" s="25" t="n">
        <f aca="false">IF(AND($A52+(-12)&gt;=1,$A52+(-12)&lt;=$B$8),INDEX($E$12:$E$59,$A52+(-12)),"")</f>
        <v>0.942019543973941</v>
      </c>
      <c r="H52" s="25" t="n">
        <f aca="false">IF(AND($A52+(0)&gt;=1,$A52+(0)&lt;=$B$8),INDEX($E$12:$E$59,$A52+(0)),"")</f>
        <v>0.878284700951153</v>
      </c>
      <c r="I52" s="25" t="str">
        <f aca="false">IF(AND($A52+(12)&gt;=1,$A52+(12)&lt;=$B$8),INDEX($E$12:$E$59,$A52+(12)),"")</f>
        <v/>
      </c>
      <c r="J52" s="25" t="str">
        <f aca="false">IF(AND($A52+(24)&gt;=1,$A52+(24)&lt;=$B$8),INDEX($E$12:$E$59,$A52+(24)),"")</f>
        <v/>
      </c>
      <c r="K52" s="25" t="n">
        <f aca="false">IF(SUMPRODUCT(Bobot_Filter!$B$38:$F$38,ISNUMBER(F52:J52)*1)&gt;0,SUMPRODUCT(Bobot_Filter!$B$38:$F$38,F52:J52)/SUMPRODUCT(Bobot_Filter!$B$38:$F$38,ISNUMBER(F52:J52)*1),"")</f>
        <v>0.895563725814671</v>
      </c>
      <c r="L52" s="25" t="n">
        <f aca="false">IF(AND($A52&gt;=$B$6,$A52&lt;=$B$7),SUMPRODUCT(Bobot_Filter!$B$4:$B$16,K46:K58),"")</f>
        <v>0.999847374412234</v>
      </c>
      <c r="M52" s="25" t="n">
        <f aca="false">K52/INDEX($L$12:$L$59,MAX($B$6,MIN($A52,$B$7)))</f>
        <v>0.895700432619663</v>
      </c>
      <c r="N52" s="27" t="n">
        <f aca="false">C52/M52</f>
        <v>253.43294670082</v>
      </c>
      <c r="O52" s="27" t="n">
        <f aca="false">IF(AND($A52&gt;=$B$6,$A52&lt;=$B$7),SUMPRODUCT(Bobot_Filter!$B$20:$B$32,N46:N58),"")</f>
        <v>254.569974996587</v>
      </c>
      <c r="P52" s="25" t="n">
        <f aca="false">IF(ISNUMBER(O52),C52/O52,"")</f>
        <v>0.891699816535878</v>
      </c>
      <c r="Q52" s="25" t="str">
        <f aca="false">IF(AND($A52+(-36)&gt;=1,$A52+(-36)&lt;=$B$8),INDEX($P$12:$P$59,$A52+(-36)),"")</f>
        <v/>
      </c>
      <c r="R52" s="25" t="n">
        <f aca="false">IF(AND($A52+(-24)&gt;=1,$A52+(-24)&lt;=$B$8),INDEX($P$12:$P$59,$A52+(-24)),"")</f>
        <v>0.872859572882159</v>
      </c>
      <c r="S52" s="25" t="n">
        <f aca="false">IF(AND($A52+(-12)&gt;=1,$A52+(-12)&lt;=$B$8),INDEX($P$12:$P$59,$A52+(-12)),"")</f>
        <v>0.929188636210649</v>
      </c>
      <c r="T52" s="25" t="n">
        <f aca="false">IF(AND($A52+(0)&gt;=1,$A52+(0)&lt;=$B$8),INDEX($P$12:$P$59,$A52+(0)),"")</f>
        <v>0.891699816535878</v>
      </c>
      <c r="U52" s="25" t="str">
        <f aca="false">IF(AND($A52+(12)&gt;=1,$A52+(12)&lt;=$B$8),INDEX($P$12:$P$59,$A52+(12)),"")</f>
        <v/>
      </c>
      <c r="V52" s="25" t="str">
        <f aca="false">IF(AND($A52+(24)&gt;=1,$A52+(24)&lt;=$B$8),INDEX($P$12:$P$59,$A52+(24)),"")</f>
        <v/>
      </c>
      <c r="W52" s="25" t="str">
        <f aca="false">IF(AND($A52+(36)&gt;=1,$A52+(36)&lt;=$B$8),INDEX($P$12:$P$59,$A52+(36)),"")</f>
        <v/>
      </c>
      <c r="X52" s="25" t="n">
        <f aca="false">IF(SUMPRODUCT(Bobot_Filter!$B$43:$H$43,ISNUMBER(Q52:W52)*1)&gt;0,SUMPRODUCT(Bobot_Filter!$B$43:$H$43,Q52:W52)/SUMPRODUCT(Bobot_Filter!$B$43:$H$43,ISNUMBER(Q52:W52)*1),"")</f>
        <v>0.901048063000487</v>
      </c>
      <c r="Y52" s="25" t="n">
        <f aca="false">IF(AND($A52&gt;=$B$6,$A52&lt;=$B$7),SUMPRODUCT(Bobot_Filter!$B$4:$B$16,X46:X58),"")</f>
        <v>0.999437535316027</v>
      </c>
      <c r="Z52" s="33" t="n">
        <f aca="false">X52/INDEX($Y$12:$Y$59,MAX($B$6,MIN($A52,$B$7)))</f>
        <v>0.901555155936356</v>
      </c>
      <c r="AA52" s="27" t="n">
        <f aca="false">C52/Z52</f>
        <v>251.78714636071</v>
      </c>
      <c r="AB52" s="27" t="n">
        <f aca="false">IF(AND($A52&gt;=$B$6,$A52&lt;=$B$7),SUMPRODUCT(Bobot_Filter!$B$20:$B$32,AA46:AA58),"")</f>
        <v>253.771699167177</v>
      </c>
      <c r="AC52" s="25" t="n">
        <f aca="false">IF(ISNUMBER(AB52),AA52/AB52,"")</f>
        <v>0.992179770979273</v>
      </c>
      <c r="AD52" s="27" t="n">
        <f aca="false">$B$4+$B$3*A52</f>
        <v>260.126270686129</v>
      </c>
      <c r="AE52" s="27" t="n">
        <f aca="false">AD52*Z52</f>
        <v>234.518180531576</v>
      </c>
      <c r="AF52" s="28" t="n">
        <f aca="false">ABS(C52-AE52)/C52</f>
        <v>0.0331197380245632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Data!E46</f>
        <v>239</v>
      </c>
      <c r="D53" s="27" t="n">
        <f aca="false">IF(AND($A53&gt;=$B$6,$A53&lt;=$B$7),SUMPRODUCT(Bobot_Filter!$B$4:$B$16,C47:C59),"")</f>
        <v>257.416666666667</v>
      </c>
      <c r="E53" s="25" t="n">
        <f aca="false">IF(ISNUMBER(D53),C53/D53,"")</f>
        <v>0.928455810942053</v>
      </c>
      <c r="F53" s="25" t="n">
        <f aca="false">IF(AND($A53+(-24)&gt;=1,$A53+(-24)&lt;=$B$8),INDEX($E$12:$E$59,$A53+(-24)),"")</f>
        <v>0.939883201648918</v>
      </c>
      <c r="G53" s="25" t="n">
        <f aca="false">IF(AND($A53+(-12)&gt;=1,$A53+(-12)&lt;=$B$8),INDEX($E$12:$E$59,$A53+(-12)),"")</f>
        <v>0.923679060665362</v>
      </c>
      <c r="H53" s="25" t="n">
        <f aca="false">IF(AND($A53+(0)&gt;=1,$A53+(0)&lt;=$B$8),INDEX($E$12:$E$59,$A53+(0)),"")</f>
        <v>0.928455810942053</v>
      </c>
      <c r="I53" s="25" t="str">
        <f aca="false">IF(AND($A53+(12)&gt;=1,$A53+(12)&lt;=$B$8),INDEX($E$12:$E$59,$A53+(12)),"")</f>
        <v/>
      </c>
      <c r="J53" s="25" t="str">
        <f aca="false">IF(AND($A53+(24)&gt;=1,$A53+(24)&lt;=$B$8),INDEX($E$12:$E$59,$A53+(24)),"")</f>
        <v/>
      </c>
      <c r="K53" s="25" t="n">
        <f aca="false">IF(SUMPRODUCT(Bobot_Filter!$B$38:$F$38,ISNUMBER(F53:J53)*1)&gt;0,SUMPRODUCT(Bobot_Filter!$B$38:$F$38,F53:J53)/SUMPRODUCT(Bobot_Filter!$B$38:$F$38,ISNUMBER(F53:J53)*1),"")</f>
        <v>0.928768125967633</v>
      </c>
      <c r="L53" s="25" t="n">
        <f aca="false">IF(AND($A53&gt;=$B$6,$A53&lt;=$B$7),SUMPRODUCT(Bobot_Filter!$B$4:$B$16,K47:K59),"")</f>
        <v>0.998571265419298</v>
      </c>
      <c r="M53" s="25" t="n">
        <f aca="false">K53/INDEX($L$12:$L$59,MAX($B$6,MIN($A53,$B$7)))</f>
        <v>0.930096987697363</v>
      </c>
      <c r="N53" s="27" t="n">
        <f aca="false">C53/M53</f>
        <v>256.962449251332</v>
      </c>
      <c r="O53" s="27" t="n">
        <f aca="false">IF(AND($A53&gt;=$B$6,$A53&lt;=$B$7),SUMPRODUCT(Bobot_Filter!$B$20:$B$32,N47:N59),"")</f>
        <v>258.493976308188</v>
      </c>
      <c r="P53" s="25" t="n">
        <f aca="false">IF(ISNUMBER(O53),C53/O53,"")</f>
        <v>0.924586342062583</v>
      </c>
      <c r="Q53" s="25" t="str">
        <f aca="false">IF(AND($A53+(-36)&gt;=1,$A53+(-36)&lt;=$B$8),INDEX($P$12:$P$59,$A53+(-36)),"")</f>
        <v/>
      </c>
      <c r="R53" s="25" t="n">
        <f aca="false">IF(AND($A53+(-24)&gt;=1,$A53+(-24)&lt;=$B$8),INDEX($P$12:$P$59,$A53+(-24)),"")</f>
        <v>0.951348146468574</v>
      </c>
      <c r="S53" s="25" t="n">
        <f aca="false">IF(AND($A53+(-12)&gt;=1,$A53+(-12)&lt;=$B$8),INDEX($P$12:$P$59,$A53+(-12)),"")</f>
        <v>0.908290840956452</v>
      </c>
      <c r="T53" s="25" t="n">
        <f aca="false">IF(AND($A53+(0)&gt;=1,$A53+(0)&lt;=$B$8),INDEX($P$12:$P$59,$A53+(0)),"")</f>
        <v>0.924586342062583</v>
      </c>
      <c r="U53" s="25" t="str">
        <f aca="false">IF(AND($A53+(12)&gt;=1,$A53+(12)&lt;=$B$8),INDEX($P$12:$P$59,$A53+(12)),"")</f>
        <v/>
      </c>
      <c r="V53" s="25" t="str">
        <f aca="false">IF(AND($A53+(24)&gt;=1,$A53+(24)&lt;=$B$8),INDEX($P$12:$P$59,$A53+(24)),"")</f>
        <v/>
      </c>
      <c r="W53" s="25" t="str">
        <f aca="false">IF(AND($A53+(36)&gt;=1,$A53+(36)&lt;=$B$8),INDEX($P$12:$P$59,$A53+(36)),"")</f>
        <v/>
      </c>
      <c r="X53" s="25" t="n">
        <f aca="false">IF(SUMPRODUCT(Bobot_Filter!$B$43:$H$43,ISNUMBER(Q53:W53)*1)&gt;0,SUMPRODUCT(Bobot_Filter!$B$43:$H$43,Q53:W53)/SUMPRODUCT(Bobot_Filter!$B$43:$H$43,ISNUMBER(Q53:W53)*1),"")</f>
        <v>0.925165980249282</v>
      </c>
      <c r="Y53" s="25" t="n">
        <f aca="false">IF(AND($A53&gt;=$B$6,$A53&lt;=$B$7),SUMPRODUCT(Bobot_Filter!$B$4:$B$16,X47:X59),"")</f>
        <v>0.998643807513108</v>
      </c>
      <c r="Z53" s="33" t="n">
        <f aca="false">X53/INDEX($Y$12:$Y$59,MAX($B$6,MIN($A53,$B$7)))</f>
        <v>0.926422387330668</v>
      </c>
      <c r="AA53" s="27" t="n">
        <f aca="false">C53/Z53</f>
        <v>257.981675819211</v>
      </c>
      <c r="AB53" s="27" t="n">
        <f aca="false">IF(AND($A53&gt;=$B$6,$A53&lt;=$B$7),SUMPRODUCT(Bobot_Filter!$B$20:$B$32,AA47:AA59),"")</f>
        <v>259.29224337077</v>
      </c>
      <c r="AC53" s="25" t="n">
        <f aca="false">IF(ISNUMBER(AB53),AA53/AB53,"")</f>
        <v>0.99494559677327</v>
      </c>
      <c r="AD53" s="27" t="n">
        <f aca="false">$B$4+$B$3*A53</f>
        <v>260.975938253209</v>
      </c>
      <c r="AE53" s="27" t="n">
        <f aca="false">AD53*Z53</f>
        <v>241.773951752399</v>
      </c>
      <c r="AF53" s="28" t="n">
        <f aca="false">ABS(C53-AE53)/C53</f>
        <v>0.011606492687861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Data!E47</f>
        <v>300</v>
      </c>
      <c r="D54" s="27" t="str">
        <f aca="false">IF(AND($A54&gt;=$B$6,$A54&lt;=$B$7),SUMPRODUCT(Bobot_Filter!$B$4:$B$16,C48:C60),"")</f>
        <v/>
      </c>
      <c r="E54" s="25" t="str">
        <f aca="false">IF(ISNUMBER(D54),C54/D54,"")</f>
        <v/>
      </c>
      <c r="F54" s="25" t="n">
        <f aca="false">IF(AND($A54+(-24)&gt;=1,$A54+(-24)&lt;=$B$8),INDEX($E$12:$E$59,$A54+(-24)),"")</f>
        <v>1.16348633316142</v>
      </c>
      <c r="G54" s="25" t="n">
        <f aca="false">IF(AND($A54+(-12)&gt;=1,$A54+(-12)&lt;=$B$8),INDEX($E$12:$E$59,$A54+(-12)),"")</f>
        <v>1.12536633018561</v>
      </c>
      <c r="H54" s="25" t="str">
        <f aca="false">IF(AND($A54+(0)&gt;=1,$A54+(0)&lt;=$B$8),INDEX($E$12:$E$59,$A54+(0)),"")</f>
        <v/>
      </c>
      <c r="I54" s="25" t="str">
        <f aca="false">IF(AND($A54+(12)&gt;=1,$A54+(12)&lt;=$B$8),INDEX($E$12:$E$59,$A54+(12)),"")</f>
        <v/>
      </c>
      <c r="J54" s="25" t="str">
        <f aca="false">IF(AND($A54+(24)&gt;=1,$A54+(24)&lt;=$B$8),INDEX($E$12:$E$59,$A54+(24)),"")</f>
        <v/>
      </c>
      <c r="K54" s="25" t="n">
        <f aca="false">IF(SUMPRODUCT(Bobot_Filter!$B$38:$F$38,ISNUMBER(F54:J54)*1)&gt;0,SUMPRODUCT(Bobot_Filter!$B$38:$F$38,F54:J54)/SUMPRODUCT(Bobot_Filter!$B$38:$F$38,ISNUMBER(F54:J54)*1),"")</f>
        <v>1.13807299784421</v>
      </c>
      <c r="L54" s="25" t="str">
        <f aca="false">IF(AND($A54&gt;=$B$6,$A54&lt;=$B$7),SUMPRODUCT(Bobot_Filter!$B$4:$B$16,K48:K60),"")</f>
        <v/>
      </c>
      <c r="M54" s="25" t="n">
        <f aca="false">K54/INDEX($L$12:$L$59,MAX($B$6,MIN($A54,$B$7)))</f>
        <v>1.13970132854398</v>
      </c>
      <c r="N54" s="27" t="n">
        <f aca="false">C54/M54</f>
        <v>263.226858200881</v>
      </c>
      <c r="O54" s="27" t="str">
        <f aca="false">IF(AND($A54&gt;=$B$6,$A54&lt;=$B$7),SUMPRODUCT(Bobot_Filter!$B$20:$B$32,N48:N60),"")</f>
        <v/>
      </c>
      <c r="P54" s="25" t="str">
        <f aca="false">IF(ISNUMBER(O54),C54/O54,"")</f>
        <v/>
      </c>
      <c r="Q54" s="25" t="n">
        <f aca="false">IF(AND($A54+(-36)&gt;=1,$A54+(-36)&lt;=$B$8),INDEX($P$12:$P$59,$A54+(-36)),"")</f>
        <v>1.19852773157614</v>
      </c>
      <c r="R54" s="25" t="n">
        <f aca="false">IF(AND($A54+(-24)&gt;=1,$A54+(-24)&lt;=$B$8),INDEX($P$12:$P$59,$A54+(-24)),"")</f>
        <v>1.16081783318736</v>
      </c>
      <c r="S54" s="25" t="n">
        <f aca="false">IF(AND($A54+(-12)&gt;=1,$A54+(-12)&lt;=$B$8),INDEX($P$12:$P$59,$A54+(-12)),"")</f>
        <v>1.1098973391395</v>
      </c>
      <c r="T54" s="25" t="str">
        <f aca="false">IF(AND($A54+(0)&gt;=1,$A54+(0)&lt;=$B$8),INDEX($P$12:$P$59,$A54+(0)),"")</f>
        <v/>
      </c>
      <c r="U54" s="25" t="str">
        <f aca="false">IF(AND($A54+(12)&gt;=1,$A54+(12)&lt;=$B$8),INDEX($P$12:$P$59,$A54+(12)),"")</f>
        <v/>
      </c>
      <c r="V54" s="25" t="str">
        <f aca="false">IF(AND($A54+(24)&gt;=1,$A54+(24)&lt;=$B$8),INDEX($P$12:$P$59,$A54+(24)),"")</f>
        <v/>
      </c>
      <c r="W54" s="25" t="str">
        <f aca="false">IF(AND($A54+(36)&gt;=1,$A54+(36)&lt;=$B$8),INDEX($P$12:$P$59,$A54+(36)),"")</f>
        <v/>
      </c>
      <c r="X54" s="25" t="n">
        <f aca="false">IF(SUMPRODUCT(Bobot_Filter!$B$43:$H$43,ISNUMBER(Q54:W54)*1)&gt;0,SUMPRODUCT(Bobot_Filter!$B$43:$H$43,Q54:W54)/SUMPRODUCT(Bobot_Filter!$B$43:$H$43,ISNUMBER(Q54:W54)*1),"")</f>
        <v>1.14164256922823</v>
      </c>
      <c r="Y54" s="25" t="str">
        <f aca="false">IF(AND($A54&gt;=$B$6,$A54&lt;=$B$7),SUMPRODUCT(Bobot_Filter!$B$4:$B$16,X48:X60),"")</f>
        <v/>
      </c>
      <c r="Z54" s="33" t="n">
        <f aca="false">X54/INDEX($Y$12:$Y$59,MAX($B$6,MIN($A54,$B$7)))</f>
        <v>1.1431929589302</v>
      </c>
      <c r="AA54" s="27" t="n">
        <f aca="false">C54/Z54</f>
        <v>262.422889903679</v>
      </c>
      <c r="AB54" s="27" t="str">
        <f aca="false">IF(AND($A54&gt;=$B$6,$A54&lt;=$B$7),SUMPRODUCT(Bobot_Filter!$B$20:$B$32,AA48:AA60),"")</f>
        <v/>
      </c>
      <c r="AC54" s="25" t="str">
        <f aca="false">IF(ISNUMBER(AB54),AA54/AB54,"")</f>
        <v/>
      </c>
      <c r="AD54" s="27" t="n">
        <f aca="false">$B$4+$B$3*A54</f>
        <v>261.825605820288</v>
      </c>
      <c r="AE54" s="27" t="n">
        <f aca="false">AD54*Z54</f>
        <v>299.317189041386</v>
      </c>
      <c r="AF54" s="28" t="n">
        <f aca="false">ABS(C54-AE54)/C54</f>
        <v>0.0022760365287121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Data!E48</f>
        <v>278</v>
      </c>
      <c r="D55" s="27" t="str">
        <f aca="false">IF(AND($A55&gt;=$B$6,$A55&lt;=$B$7),SUMPRODUCT(Bobot_Filter!$B$4:$B$16,C49:C61),"")</f>
        <v/>
      </c>
      <c r="E55" s="25" t="str">
        <f aca="false">IF(ISNUMBER(D55),C55/D55,"")</f>
        <v/>
      </c>
      <c r="F55" s="25" t="n">
        <f aca="false">IF(AND($A55+(-24)&gt;=1,$A55+(-24)&lt;=$B$8),INDEX($E$12:$E$59,$A55+(-24)),"")</f>
        <v>1.07205202806777</v>
      </c>
      <c r="G55" s="25" t="n">
        <f aca="false">IF(AND($A55+(-12)&gt;=1,$A55+(-12)&lt;=$B$8),INDEX($E$12:$E$59,$A55+(-12)),"")</f>
        <v>1.08379523964786</v>
      </c>
      <c r="H55" s="25" t="str">
        <f aca="false">IF(AND($A55+(0)&gt;=1,$A55+(0)&lt;=$B$8),INDEX($E$12:$E$59,$A55+(0)),"")</f>
        <v/>
      </c>
      <c r="I55" s="25" t="str">
        <f aca="false">IF(AND($A55+(12)&gt;=1,$A55+(12)&lt;=$B$8),INDEX($E$12:$E$59,$A55+(12)),"")</f>
        <v/>
      </c>
      <c r="J55" s="25" t="str">
        <f aca="false">IF(AND($A55+(24)&gt;=1,$A55+(24)&lt;=$B$8),INDEX($E$12:$E$59,$A55+(24)),"")</f>
        <v/>
      </c>
      <c r="K55" s="25" t="n">
        <f aca="false">IF(SUMPRODUCT(Bobot_Filter!$B$38:$F$38,ISNUMBER(F55:J55)*1)&gt;0,SUMPRODUCT(Bobot_Filter!$B$38:$F$38,F55:J55)/SUMPRODUCT(Bobot_Filter!$B$38:$F$38,ISNUMBER(F55:J55)*1),"")</f>
        <v>1.07988083578783</v>
      </c>
      <c r="L55" s="25" t="str">
        <f aca="false">IF(AND($A55&gt;=$B$6,$A55&lt;=$B$7),SUMPRODUCT(Bobot_Filter!$B$4:$B$16,K49:K61),"")</f>
        <v/>
      </c>
      <c r="M55" s="25" t="n">
        <f aca="false">K55/INDEX($L$12:$L$59,MAX($B$6,MIN($A55,$B$7)))</f>
        <v>1.08142590637674</v>
      </c>
      <c r="N55" s="27" t="n">
        <f aca="false">C55/M55</f>
        <v>257.068004715574</v>
      </c>
      <c r="O55" s="27" t="str">
        <f aca="false">IF(AND($A55&gt;=$B$6,$A55&lt;=$B$7),SUMPRODUCT(Bobot_Filter!$B$20:$B$32,N49:N61),"")</f>
        <v/>
      </c>
      <c r="P55" s="25" t="str">
        <f aca="false">IF(ISNUMBER(O55),C55/O55,"")</f>
        <v/>
      </c>
      <c r="Q55" s="25" t="n">
        <f aca="false">IF(AND($A55+(-36)&gt;=1,$A55+(-36)&lt;=$B$8),INDEX($P$12:$P$59,$A55+(-36)),"")</f>
        <v>1.07604715927674</v>
      </c>
      <c r="R55" s="25" t="n">
        <f aca="false">IF(AND($A55+(-24)&gt;=1,$A55+(-24)&lt;=$B$8),INDEX($P$12:$P$59,$A55+(-24)),"")</f>
        <v>1.06229951589914</v>
      </c>
      <c r="S55" s="25" t="n">
        <f aca="false">IF(AND($A55+(-12)&gt;=1,$A55+(-12)&lt;=$B$8),INDEX($P$12:$P$59,$A55+(-12)),"")</f>
        <v>1.07036828138002</v>
      </c>
      <c r="T55" s="25" t="str">
        <f aca="false">IF(AND($A55+(0)&gt;=1,$A55+(0)&lt;=$B$8),INDEX($P$12:$P$59,$A55+(0)),"")</f>
        <v/>
      </c>
      <c r="U55" s="25" t="str">
        <f aca="false">IF(AND($A55+(12)&gt;=1,$A55+(12)&lt;=$B$8),INDEX($P$12:$P$59,$A55+(12)),"")</f>
        <v/>
      </c>
      <c r="V55" s="25" t="str">
        <f aca="false">IF(AND($A55+(24)&gt;=1,$A55+(24)&lt;=$B$8),INDEX($P$12:$P$59,$A55+(24)),"")</f>
        <v/>
      </c>
      <c r="W55" s="25" t="str">
        <f aca="false">IF(AND($A55+(36)&gt;=1,$A55+(36)&lt;=$B$8),INDEX($P$12:$P$59,$A55+(36)),"")</f>
        <v/>
      </c>
      <c r="X55" s="25" t="n">
        <f aca="false">IF(SUMPRODUCT(Bobot_Filter!$B$43:$H$43,ISNUMBER(Q55:W55)*1)&gt;0,SUMPRODUCT(Bobot_Filter!$B$43:$H$43,Q55:W55)/SUMPRODUCT(Bobot_Filter!$B$43:$H$43,ISNUMBER(Q55:W55)*1),"")</f>
        <v>1.06862517253584</v>
      </c>
      <c r="Y55" s="25" t="str">
        <f aca="false">IF(AND($A55&gt;=$B$6,$A55&lt;=$B$7),SUMPRODUCT(Bobot_Filter!$B$4:$B$16,X49:X61),"")</f>
        <v/>
      </c>
      <c r="Z55" s="33" t="n">
        <f aca="false">X55/INDEX($Y$12:$Y$59,MAX($B$6,MIN($A55,$B$7)))</f>
        <v>1.07007640211279</v>
      </c>
      <c r="AA55" s="27" t="n">
        <f aca="false">C55/Z55</f>
        <v>259.794533783858</v>
      </c>
      <c r="AB55" s="27" t="str">
        <f aca="false">IF(AND($A55&gt;=$B$6,$A55&lt;=$B$7),SUMPRODUCT(Bobot_Filter!$B$20:$B$32,AA49:AA61),"")</f>
        <v/>
      </c>
      <c r="AC55" s="25" t="str">
        <f aca="false">IF(ISNUMBER(AB55),AA55/AB55,"")</f>
        <v/>
      </c>
      <c r="AD55" s="27" t="n">
        <f aca="false">$B$4+$B$3*A55</f>
        <v>262.675273387368</v>
      </c>
      <c r="AE55" s="27" t="n">
        <f aca="false">AD55*Z55</f>
        <v>281.082611470348</v>
      </c>
      <c r="AF55" s="28" t="n">
        <f aca="false">ABS(C55-AE55)/C55</f>
        <v>0.0110885304688784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Data!E49</f>
        <v>254</v>
      </c>
      <c r="D56" s="27" t="str">
        <f aca="false">IF(AND($A56&gt;=$B$6,$A56&lt;=$B$7),SUMPRODUCT(Bobot_Filter!$B$4:$B$16,C50:C62),"")</f>
        <v/>
      </c>
      <c r="E56" s="25" t="str">
        <f aca="false">IF(ISNUMBER(D56),C56/D56,"")</f>
        <v/>
      </c>
      <c r="F56" s="25" t="n">
        <f aca="false">IF(AND($A56+(-24)&gt;=1,$A56+(-24)&lt;=$B$8),INDEX($E$12:$E$59,$A56+(-24)),"")</f>
        <v>0.932674279870462</v>
      </c>
      <c r="G56" s="25" t="n">
        <f aca="false">IF(AND($A56+(-12)&gt;=1,$A56+(-12)&lt;=$B$8),INDEX($E$12:$E$59,$A56+(-12)),"")</f>
        <v>0.971755102040816</v>
      </c>
      <c r="H56" s="25" t="str">
        <f aca="false">IF(AND($A56+(0)&gt;=1,$A56+(0)&lt;=$B$8),INDEX($E$12:$E$59,$A56+(0)),"")</f>
        <v/>
      </c>
      <c r="I56" s="25" t="str">
        <f aca="false">IF(AND($A56+(12)&gt;=1,$A56+(12)&lt;=$B$8),INDEX($E$12:$E$59,$A56+(12)),"")</f>
        <v/>
      </c>
      <c r="J56" s="25" t="str">
        <f aca="false">IF(AND($A56+(24)&gt;=1,$A56+(24)&lt;=$B$8),INDEX($E$12:$E$59,$A56+(24)),"")</f>
        <v/>
      </c>
      <c r="K56" s="25" t="n">
        <f aca="false">IF(SUMPRODUCT(Bobot_Filter!$B$38:$F$38,ISNUMBER(F56:J56)*1)&gt;0,SUMPRODUCT(Bobot_Filter!$B$38:$F$38,F56:J56)/SUMPRODUCT(Bobot_Filter!$B$38:$F$38,ISNUMBER(F56:J56)*1),"")</f>
        <v>0.958728161317365</v>
      </c>
      <c r="L56" s="25" t="str">
        <f aca="false">IF(AND($A56&gt;=$B$6,$A56&lt;=$B$7),SUMPRODUCT(Bobot_Filter!$B$4:$B$16,K50:K62),"")</f>
        <v/>
      </c>
      <c r="M56" s="25" t="n">
        <f aca="false">K56/INDEX($L$12:$L$59,MAX($B$6,MIN($A56,$B$7)))</f>
        <v>0.960099889230036</v>
      </c>
      <c r="N56" s="27" t="n">
        <f aca="false">C56/M56</f>
        <v>264.555805962751</v>
      </c>
      <c r="O56" s="27" t="str">
        <f aca="false">IF(AND($A56&gt;=$B$6,$A56&lt;=$B$7),SUMPRODUCT(Bobot_Filter!$B$20:$B$32,N50:N62),"")</f>
        <v/>
      </c>
      <c r="P56" s="25" t="str">
        <f aca="false">IF(ISNUMBER(O56),C56/O56,"")</f>
        <v/>
      </c>
      <c r="Q56" s="25" t="n">
        <f aca="false">IF(AND($A56+(-36)&gt;=1,$A56+(-36)&lt;=$B$8),INDEX($P$12:$P$59,$A56+(-36)),"")</f>
        <v>0.79418253442518</v>
      </c>
      <c r="R56" s="25" t="n">
        <f aca="false">IF(AND($A56+(-24)&gt;=1,$A56+(-24)&lt;=$B$8),INDEX($P$12:$P$59,$A56+(-24)),"")</f>
        <v>0.921231160779794</v>
      </c>
      <c r="S56" s="25" t="n">
        <f aca="false">IF(AND($A56+(-12)&gt;=1,$A56+(-12)&lt;=$B$8),INDEX($P$12:$P$59,$A56+(-12)),"")</f>
        <v>0.962654923426868</v>
      </c>
      <c r="T56" s="25" t="str">
        <f aca="false">IF(AND($A56+(0)&gt;=1,$A56+(0)&lt;=$B$8),INDEX($P$12:$P$59,$A56+(0)),"")</f>
        <v/>
      </c>
      <c r="U56" s="25" t="str">
        <f aca="false">IF(AND($A56+(12)&gt;=1,$A56+(12)&lt;=$B$8),INDEX($P$12:$P$59,$A56+(12)),"")</f>
        <v/>
      </c>
      <c r="V56" s="25" t="str">
        <f aca="false">IF(AND($A56+(24)&gt;=1,$A56+(24)&lt;=$B$8),INDEX($P$12:$P$59,$A56+(24)),"")</f>
        <v/>
      </c>
      <c r="W56" s="25" t="str">
        <f aca="false">IF(AND($A56+(36)&gt;=1,$A56+(36)&lt;=$B$8),INDEX($P$12:$P$59,$A56+(36)),"")</f>
        <v/>
      </c>
      <c r="X56" s="25" t="n">
        <f aca="false">IF(SUMPRODUCT(Bobot_Filter!$B$43:$H$43,ISNUMBER(Q56:W56)*1)&gt;0,SUMPRODUCT(Bobot_Filter!$B$43:$H$43,Q56:W56)/SUMPRODUCT(Bobot_Filter!$B$43:$H$43,ISNUMBER(Q56:W56)*1),"")</f>
        <v>0.920768271044229</v>
      </c>
      <c r="Y56" s="25" t="str">
        <f aca="false">IF(AND($A56&gt;=$B$6,$A56&lt;=$B$7),SUMPRODUCT(Bobot_Filter!$B$4:$B$16,X50:X62),"")</f>
        <v/>
      </c>
      <c r="Z56" s="33" t="n">
        <f aca="false">X56/INDEX($Y$12:$Y$59,MAX($B$6,MIN($A56,$B$7)))</f>
        <v>0.922018705885925</v>
      </c>
      <c r="AA56" s="27" t="n">
        <f aca="false">C56/Z56</f>
        <v>275.482480321203</v>
      </c>
      <c r="AB56" s="27" t="str">
        <f aca="false">IF(AND($A56&gt;=$B$6,$A56&lt;=$B$7),SUMPRODUCT(Bobot_Filter!$B$20:$B$32,AA50:AA62),"")</f>
        <v/>
      </c>
      <c r="AC56" s="25" t="str">
        <f aca="false">IF(ISNUMBER(AB56),AA56/AB56,"")</f>
        <v/>
      </c>
      <c r="AD56" s="27" t="n">
        <f aca="false">$B$4+$B$3*A56</f>
        <v>263.524940954448</v>
      </c>
      <c r="AE56" s="27" t="n">
        <f aca="false">AD56*Z56</f>
        <v>242.974925027485</v>
      </c>
      <c r="AF56" s="28" t="n">
        <f aca="false">ABS(C56-AE56)/C56</f>
        <v>0.0434058069784072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Data!E50</f>
        <v>336</v>
      </c>
      <c r="D57" s="27" t="str">
        <f aca="false">IF(AND($A57&gt;=$B$6,$A57&lt;=$B$7),SUMPRODUCT(Bobot_Filter!$B$4:$B$16,C51:C63),"")</f>
        <v/>
      </c>
      <c r="E57" s="25" t="str">
        <f aca="false">IF(ISNUMBER(D57),C57/D57,"")</f>
        <v/>
      </c>
      <c r="F57" s="25" t="n">
        <f aca="false">IF(AND($A57+(-24)&gt;=1,$A57+(-24)&lt;=$B$8),INDEX($E$12:$E$59,$A57+(-24)),"")</f>
        <v>1.04029800203183</v>
      </c>
      <c r="G57" s="25" t="n">
        <f aca="false">IF(AND($A57+(-12)&gt;=1,$A57+(-12)&lt;=$B$8),INDEX($E$12:$E$59,$A57+(-12)),"")</f>
        <v>1.09929658105676</v>
      </c>
      <c r="H57" s="25" t="str">
        <f aca="false">IF(AND($A57+(0)&gt;=1,$A57+(0)&lt;=$B$8),INDEX($E$12:$E$59,$A57+(0)),"")</f>
        <v/>
      </c>
      <c r="I57" s="25" t="str">
        <f aca="false">IF(AND($A57+(12)&gt;=1,$A57+(12)&lt;=$B$8),INDEX($E$12:$E$59,$A57+(12)),"")</f>
        <v/>
      </c>
      <c r="J57" s="25" t="str">
        <f aca="false">IF(AND($A57+(24)&gt;=1,$A57+(24)&lt;=$B$8),INDEX($E$12:$E$59,$A57+(24)),"")</f>
        <v/>
      </c>
      <c r="K57" s="25" t="n">
        <f aca="false">IF(SUMPRODUCT(Bobot_Filter!$B$38:$F$38,ISNUMBER(F57:J57)*1)&gt;0,SUMPRODUCT(Bobot_Filter!$B$38:$F$38,F57:J57)/SUMPRODUCT(Bobot_Filter!$B$38:$F$38,ISNUMBER(F57:J57)*1),"")</f>
        <v>1.07963038804845</v>
      </c>
      <c r="L57" s="25" t="str">
        <f aca="false">IF(AND($A57&gt;=$B$6,$A57&lt;=$B$7),SUMPRODUCT(Bobot_Filter!$B$4:$B$16,K51:K63),"")</f>
        <v/>
      </c>
      <c r="M57" s="25" t="n">
        <f aca="false">K57/INDEX($L$12:$L$59,MAX($B$6,MIN($A57,$B$7)))</f>
        <v>1.08117510030205</v>
      </c>
      <c r="N57" s="27" t="n">
        <f aca="false">C57/M57</f>
        <v>310.772972764663</v>
      </c>
      <c r="O57" s="27" t="str">
        <f aca="false">IF(AND($A57&gt;=$B$6,$A57&lt;=$B$7),SUMPRODUCT(Bobot_Filter!$B$20:$B$32,N51:N63),"")</f>
        <v/>
      </c>
      <c r="P57" s="25" t="str">
        <f aca="false">IF(ISNUMBER(O57),C57/O57,"")</f>
        <v/>
      </c>
      <c r="Q57" s="25" t="n">
        <f aca="false">IF(AND($A57+(-36)&gt;=1,$A57+(-36)&lt;=$B$8),INDEX($P$12:$P$59,$A57+(-36)),"")</f>
        <v>0.985456752932791</v>
      </c>
      <c r="R57" s="25" t="n">
        <f aca="false">IF(AND($A57+(-24)&gt;=1,$A57+(-24)&lt;=$B$8),INDEX($P$12:$P$59,$A57+(-24)),"")</f>
        <v>1.03243853555861</v>
      </c>
      <c r="S57" s="25" t="n">
        <f aca="false">IF(AND($A57+(-12)&gt;=1,$A57+(-12)&lt;=$B$8),INDEX($P$12:$P$59,$A57+(-12)),"")</f>
        <v>1.09424567043344</v>
      </c>
      <c r="T57" s="25" t="str">
        <f aca="false">IF(AND($A57+(0)&gt;=1,$A57+(0)&lt;=$B$8),INDEX($P$12:$P$59,$A57+(0)),"")</f>
        <v/>
      </c>
      <c r="U57" s="25" t="str">
        <f aca="false">IF(AND($A57+(12)&gt;=1,$A57+(12)&lt;=$B$8),INDEX($P$12:$P$59,$A57+(12)),"")</f>
        <v/>
      </c>
      <c r="V57" s="25" t="str">
        <f aca="false">IF(AND($A57+(24)&gt;=1,$A57+(24)&lt;=$B$8),INDEX($P$12:$P$59,$A57+(24)),"")</f>
        <v/>
      </c>
      <c r="W57" s="25" t="str">
        <f aca="false">IF(AND($A57+(36)&gt;=1,$A57+(36)&lt;=$B$8),INDEX($P$12:$P$59,$A57+(36)),"")</f>
        <v/>
      </c>
      <c r="X57" s="25" t="n">
        <f aca="false">IF(SUMPRODUCT(Bobot_Filter!$B$43:$H$43,ISNUMBER(Q57:W57)*1)&gt;0,SUMPRODUCT(Bobot_Filter!$B$43:$H$43,Q57:W57)/SUMPRODUCT(Bobot_Filter!$B$43:$H$43,ISNUMBER(Q57:W57)*1),"")</f>
        <v>1.05551180589172</v>
      </c>
      <c r="Y57" s="25" t="str">
        <f aca="false">IF(AND($A57&gt;=$B$6,$A57&lt;=$B$7),SUMPRODUCT(Bobot_Filter!$B$4:$B$16,X51:X63),"")</f>
        <v/>
      </c>
      <c r="Z57" s="33" t="n">
        <f aca="false">X57/INDEX($Y$12:$Y$59,MAX($B$6,MIN($A57,$B$7)))</f>
        <v>1.05694522706773</v>
      </c>
      <c r="AA57" s="27" t="n">
        <f aca="false">C57/Z57</f>
        <v>317.897267895481</v>
      </c>
      <c r="AB57" s="27" t="str">
        <f aca="false">IF(AND($A57&gt;=$B$6,$A57&lt;=$B$7),SUMPRODUCT(Bobot_Filter!$B$20:$B$32,AA51:AA63),"")</f>
        <v/>
      </c>
      <c r="AC57" s="25" t="str">
        <f aca="false">IF(ISNUMBER(AB57),AA57/AB57,"")</f>
        <v/>
      </c>
      <c r="AD57" s="27" t="n">
        <f aca="false">$B$4+$B$3*A57</f>
        <v>264.374608521527</v>
      </c>
      <c r="AE57" s="27" t="n">
        <f aca="false">AD57*Z57</f>
        <v>279.429480634728</v>
      </c>
      <c r="AF57" s="28" t="n">
        <f aca="false">ABS(C57-AE57)/C57</f>
        <v>0.168364640968073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Data!E51</f>
        <v>266</v>
      </c>
      <c r="D58" s="27" t="str">
        <f aca="false">IF(AND($A58&gt;=$B$6,$A58&lt;=$B$7),SUMPRODUCT(Bobot_Filter!$B$4:$B$16,C52:C64),"")</f>
        <v/>
      </c>
      <c r="E58" s="25" t="str">
        <f aca="false">IF(ISNUMBER(D58),C58/D58,"")</f>
        <v/>
      </c>
      <c r="F58" s="25" t="n">
        <f aca="false">IF(AND($A58+(-24)&gt;=1,$A58+(-24)&lt;=$B$8),INDEX($E$12:$E$59,$A58+(-24)),"")</f>
        <v>1.24899598393574</v>
      </c>
      <c r="G58" s="25" t="n">
        <f aca="false">IF(AND($A58+(-12)&gt;=1,$A58+(-12)&lt;=$B$8),INDEX($E$12:$E$59,$A58+(-12)),"")</f>
        <v>1.15505913272011</v>
      </c>
      <c r="H58" s="25" t="str">
        <f aca="false">IF(AND($A58+(0)&gt;=1,$A58+(0)&lt;=$B$8),INDEX($E$12:$E$59,$A58+(0)),"")</f>
        <v/>
      </c>
      <c r="I58" s="25" t="str">
        <f aca="false">IF(AND($A58+(12)&gt;=1,$A58+(12)&lt;=$B$8),INDEX($E$12:$E$59,$A58+(12)),"")</f>
        <v/>
      </c>
      <c r="J58" s="25" t="str">
        <f aca="false">IF(AND($A58+(24)&gt;=1,$A58+(24)&lt;=$B$8),INDEX($E$12:$E$59,$A58+(24)),"")</f>
        <v/>
      </c>
      <c r="K58" s="25" t="n">
        <f aca="false">IF(SUMPRODUCT(Bobot_Filter!$B$38:$F$38,ISNUMBER(F58:J58)*1)&gt;0,SUMPRODUCT(Bobot_Filter!$B$38:$F$38,F58:J58)/SUMPRODUCT(Bobot_Filter!$B$38:$F$38,ISNUMBER(F58:J58)*1),"")</f>
        <v>1.18637141645865</v>
      </c>
      <c r="L58" s="25" t="str">
        <f aca="false">IF(AND($A58&gt;=$B$6,$A58&lt;=$B$7),SUMPRODUCT(Bobot_Filter!$B$4:$B$16,K52:K64),"")</f>
        <v/>
      </c>
      <c r="M58" s="25" t="n">
        <f aca="false">K58/INDEX($L$12:$L$59,MAX($B$6,MIN($A58,$B$7)))</f>
        <v>1.18806885151106</v>
      </c>
      <c r="N58" s="27" t="n">
        <f aca="false">C58/M58</f>
        <v>223.892748018505</v>
      </c>
      <c r="O58" s="27" t="str">
        <f aca="false">IF(AND($A58&gt;=$B$6,$A58&lt;=$B$7),SUMPRODUCT(Bobot_Filter!$B$20:$B$32,N52:N64),"")</f>
        <v/>
      </c>
      <c r="P58" s="25" t="str">
        <f aca="false">IF(ISNUMBER(O58),C58/O58,"")</f>
        <v/>
      </c>
      <c r="Q58" s="25" t="n">
        <f aca="false">IF(AND($A58+(-36)&gt;=1,$A58+(-36)&lt;=$B$8),INDEX($P$12:$P$59,$A58+(-36)),"")</f>
        <v>1.27496427834508</v>
      </c>
      <c r="R58" s="25" t="n">
        <f aca="false">IF(AND($A58+(-24)&gt;=1,$A58+(-24)&lt;=$B$8),INDEX($P$12:$P$59,$A58+(-24)),"")</f>
        <v>1.25672931797502</v>
      </c>
      <c r="S58" s="25" t="n">
        <f aca="false">IF(AND($A58+(-12)&gt;=1,$A58+(-12)&lt;=$B$8),INDEX($P$12:$P$59,$A58+(-12)),"")</f>
        <v>1.15454898071211</v>
      </c>
      <c r="T58" s="25" t="str">
        <f aca="false">IF(AND($A58+(0)&gt;=1,$A58+(0)&lt;=$B$8),INDEX($P$12:$P$59,$A58+(0)),"")</f>
        <v/>
      </c>
      <c r="U58" s="25" t="str">
        <f aca="false">IF(AND($A58+(12)&gt;=1,$A58+(12)&lt;=$B$8),INDEX($P$12:$P$59,$A58+(12)),"")</f>
        <v/>
      </c>
      <c r="V58" s="25" t="str">
        <f aca="false">IF(AND($A58+(24)&gt;=1,$A58+(24)&lt;=$B$8),INDEX($P$12:$P$59,$A58+(24)),"")</f>
        <v/>
      </c>
      <c r="W58" s="25" t="str">
        <f aca="false">IF(AND($A58+(36)&gt;=1,$A58+(36)&lt;=$B$8),INDEX($P$12:$P$59,$A58+(36)),"")</f>
        <v/>
      </c>
      <c r="X58" s="25" t="n">
        <f aca="false">IF(SUMPRODUCT(Bobot_Filter!$B$43:$H$43,ISNUMBER(Q58:W58)*1)&gt;0,SUMPRODUCT(Bobot_Filter!$B$43:$H$43,Q58:W58)/SUMPRODUCT(Bobot_Filter!$B$43:$H$43,ISNUMBER(Q58:W58)*1),"")</f>
        <v>1.20867830940524</v>
      </c>
      <c r="Y58" s="25" t="str">
        <f aca="false">IF(AND($A58&gt;=$B$6,$A58&lt;=$B$7),SUMPRODUCT(Bobot_Filter!$B$4:$B$16,X52:X64),"")</f>
        <v/>
      </c>
      <c r="Z58" s="33" t="n">
        <f aca="false">X58/INDEX($Y$12:$Y$59,MAX($B$6,MIN($A58,$B$7)))</f>
        <v>1.21031973593786</v>
      </c>
      <c r="AA58" s="27" t="n">
        <f aca="false">C58/Z58</f>
        <v>219.776635959655</v>
      </c>
      <c r="AB58" s="27" t="str">
        <f aca="false">IF(AND($A58&gt;=$B$6,$A58&lt;=$B$7),SUMPRODUCT(Bobot_Filter!$B$20:$B$32,AA52:AA64),"")</f>
        <v/>
      </c>
      <c r="AC58" s="25" t="str">
        <f aca="false">IF(ISNUMBER(AB58),AA58/AB58,"")</f>
        <v/>
      </c>
      <c r="AD58" s="27" t="n">
        <f aca="false">$B$4+$B$3*A58</f>
        <v>265.224276088607</v>
      </c>
      <c r="AE58" s="27" t="n">
        <f aca="false">AD58*Z58</f>
        <v>321.006175799872</v>
      </c>
      <c r="AF58" s="28" t="n">
        <f aca="false">ABS(C58-AE58)/C58</f>
        <v>0.206790134585983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Data!E52</f>
        <v>243</v>
      </c>
      <c r="D59" s="27" t="str">
        <f aca="false">IF(AND($A59&gt;=$B$6,$A59&lt;=$B$7),SUMPRODUCT(Bobot_Filter!$B$4:$B$16,C53:C65),"")</f>
        <v/>
      </c>
      <c r="E59" s="25" t="str">
        <f aca="false">IF(ISNUMBER(D59),C59/D59,"")</f>
        <v/>
      </c>
      <c r="F59" s="25" t="n">
        <f aca="false">IF(AND($A59+(-24)&gt;=1,$A59+(-24)&lt;=$B$8),INDEX($E$12:$E$59,$A59+(-24)),"")</f>
        <v>0.92123629112662</v>
      </c>
      <c r="G59" s="25" t="n">
        <f aca="false">IF(AND($A59+(-12)&gt;=1,$A59+(-12)&lt;=$B$8),INDEX($E$12:$E$59,$A59+(-12)),"")</f>
        <v>0.951785420437716</v>
      </c>
      <c r="H59" s="25" t="str">
        <f aca="false">IF(AND($A59+(0)&gt;=1,$A59+(0)&lt;=$B$8),INDEX($E$12:$E$59,$A59+(0)),"")</f>
        <v/>
      </c>
      <c r="I59" s="25" t="str">
        <f aca="false">IF(AND($A59+(12)&gt;=1,$A59+(12)&lt;=$B$8),INDEX($E$12:$E$59,$A59+(12)),"")</f>
        <v/>
      </c>
      <c r="J59" s="25" t="str">
        <f aca="false">IF(AND($A59+(24)&gt;=1,$A59+(24)&lt;=$B$8),INDEX($E$12:$E$59,$A59+(24)),"")</f>
        <v/>
      </c>
      <c r="K59" s="25" t="n">
        <f aca="false">IF(SUMPRODUCT(Bobot_Filter!$B$38:$F$38,ISNUMBER(F59:J59)*1)&gt;0,SUMPRODUCT(Bobot_Filter!$B$38:$F$38,F59:J59)/SUMPRODUCT(Bobot_Filter!$B$38:$F$38,ISNUMBER(F59:J59)*1),"")</f>
        <v>0.941602377334017</v>
      </c>
      <c r="L59" s="25" t="str">
        <f aca="false">IF(AND($A59&gt;=$B$6,$A59&lt;=$B$7),SUMPRODUCT(Bobot_Filter!$B$4:$B$16,K53:K65),"")</f>
        <v/>
      </c>
      <c r="M59" s="25" t="n">
        <f aca="false">K59/INDEX($L$12:$L$59,MAX($B$6,MIN($A59,$B$7)))</f>
        <v>0.942949602038309</v>
      </c>
      <c r="N59" s="27" t="n">
        <f aca="false">C59/M59</f>
        <v>257.702001755686</v>
      </c>
      <c r="O59" s="27" t="str">
        <f aca="false">IF(AND($A59&gt;=$B$6,$A59&lt;=$B$7),SUMPRODUCT(Bobot_Filter!$B$20:$B$32,N53:N65),"")</f>
        <v/>
      </c>
      <c r="P59" s="25" t="str">
        <f aca="false">IF(ISNUMBER(O59),C59/O59,"")</f>
        <v/>
      </c>
      <c r="Q59" s="25" t="n">
        <f aca="false">IF(AND($A59+(-36)&gt;=1,$A59+(-36)&lt;=$B$8),INDEX($P$12:$P$59,$A59+(-36)),"")</f>
        <v>1.02916637856054</v>
      </c>
      <c r="R59" s="25" t="n">
        <f aca="false">IF(AND($A59+(-24)&gt;=1,$A59+(-24)&lt;=$B$8),INDEX($P$12:$P$59,$A59+(-24)),"")</f>
        <v>0.932430515783195</v>
      </c>
      <c r="S59" s="25" t="n">
        <f aca="false">IF(AND($A59+(-12)&gt;=1,$A59+(-12)&lt;=$B$8),INDEX($P$12:$P$59,$A59+(-12)),"")</f>
        <v>0.958862330317284</v>
      </c>
      <c r="T59" s="25" t="str">
        <f aca="false">IF(AND($A59+(0)&gt;=1,$A59+(0)&lt;=$B$8),INDEX($P$12:$P$59,$A59+(0)),"")</f>
        <v/>
      </c>
      <c r="U59" s="25" t="str">
        <f aca="false">IF(AND($A59+(12)&gt;=1,$A59+(12)&lt;=$B$8),INDEX($P$12:$P$59,$A59+(12)),"")</f>
        <v/>
      </c>
      <c r="V59" s="25" t="str">
        <f aca="false">IF(AND($A59+(24)&gt;=1,$A59+(24)&lt;=$B$8),INDEX($P$12:$P$59,$A59+(24)),"")</f>
        <v/>
      </c>
      <c r="W59" s="25" t="str">
        <f aca="false">IF(AND($A59+(36)&gt;=1,$A59+(36)&lt;=$B$8),INDEX($P$12:$P$59,$A59+(36)),"")</f>
        <v/>
      </c>
      <c r="X59" s="25" t="n">
        <f aca="false">IF(SUMPRODUCT(Bobot_Filter!$B$43:$H$43,ISNUMBER(Q59:W59)*1)&gt;0,SUMPRODUCT(Bobot_Filter!$B$43:$H$43,Q59:W59)/SUMPRODUCT(Bobot_Filter!$B$43:$H$43,ISNUMBER(Q59:W59)*1),"")</f>
        <v>0.961769066846464</v>
      </c>
      <c r="Y59" s="25" t="str">
        <f aca="false">IF(AND($A59&gt;=$B$6,$A59&lt;=$B$7),SUMPRODUCT(Bobot_Filter!$B$4:$B$16,X53:X65),"")</f>
        <v/>
      </c>
      <c r="Z59" s="33" t="n">
        <f aca="false">X59/INDEX($Y$12:$Y$59,MAX($B$6,MIN($A59,$B$7)))</f>
        <v>0.963075182172839</v>
      </c>
      <c r="AA59" s="27" t="n">
        <f aca="false">C59/Z59</f>
        <v>252.316750029584</v>
      </c>
      <c r="AB59" s="27" t="str">
        <f aca="false">IF(AND($A59&gt;=$B$6,$A59&lt;=$B$7),SUMPRODUCT(Bobot_Filter!$B$20:$B$32,AA53:AA65),"")</f>
        <v/>
      </c>
      <c r="AC59" s="25" t="str">
        <f aca="false">IF(ISNUMBER(AB59),AA59/AB59,"")</f>
        <v/>
      </c>
      <c r="AD59" s="27" t="n">
        <f aca="false">$B$4+$B$3*A59</f>
        <v>266.073943655686</v>
      </c>
      <c r="AE59" s="27" t="n">
        <f aca="false">AD59*Z59</f>
        <v>256.249211757646</v>
      </c>
      <c r="AF59" s="28" t="n">
        <f aca="false">ABS(C59-AE59)/C59</f>
        <v>0.0545235051754965</v>
      </c>
    </row>
    <row r="60" customFormat="false" ht="15" hidden="false" customHeight="false" outlineLevel="0" collapsed="false">
      <c r="A60" s="8" t="n">
        <v>49</v>
      </c>
      <c r="B60" s="29" t="n">
        <f aca="false">EDATE(B59,1)</f>
        <v>45809</v>
      </c>
      <c r="C60" s="23" t="n">
        <f aca="false">Data!E53</f>
        <v>239</v>
      </c>
      <c r="Z60" s="33" t="n">
        <f aca="false">Z48</f>
        <v>0.942568596461035</v>
      </c>
      <c r="AD60" s="27" t="n">
        <f aca="false">$B$4+$B$3*A60</f>
        <v>266.923611222766</v>
      </c>
      <c r="AE60" s="30" t="n">
        <f aca="false">AD60*Z60</f>
        <v>251.593813592553</v>
      </c>
      <c r="AF60" s="28" t="n">
        <f aca="false">ABS(C60-AE60)/C60</f>
        <v>0.052693780721981</v>
      </c>
    </row>
    <row r="61" customFormat="false" ht="15" hidden="false" customHeight="false" outlineLevel="0" collapsed="false">
      <c r="A61" s="8" t="n">
        <v>50</v>
      </c>
      <c r="B61" s="29" t="n">
        <f aca="false">EDATE(B60,1)</f>
        <v>45839</v>
      </c>
      <c r="C61" s="23" t="n">
        <f aca="false">Data!E54</f>
        <v>277</v>
      </c>
      <c r="Z61" s="33" t="n">
        <f aca="false">Z49</f>
        <v>1.0429647764856</v>
      </c>
      <c r="AD61" s="27" t="n">
        <f aca="false">$B$4+$B$3*A61</f>
        <v>267.773278789845</v>
      </c>
      <c r="AE61" s="30" t="n">
        <f aca="false">AD61*Z61</f>
        <v>279.278097861869</v>
      </c>
      <c r="AF61" s="28" t="n">
        <f aca="false">ABS(C61-AE61)/C61</f>
        <v>0.00822418000674591</v>
      </c>
    </row>
    <row r="62" customFormat="false" ht="15" hidden="false" customHeight="false" outlineLevel="0" collapsed="false">
      <c r="A62" s="8" t="n">
        <v>51</v>
      </c>
      <c r="B62" s="29" t="n">
        <f aca="false">EDATE(B61,1)</f>
        <v>45870</v>
      </c>
      <c r="C62" s="23" t="n">
        <f aca="false">Data!E55</f>
        <v>252</v>
      </c>
      <c r="Z62" s="33" t="n">
        <f aca="false">Z50</f>
        <v>0.904666381505197</v>
      </c>
      <c r="AD62" s="27" t="n">
        <f aca="false">$B$4+$B$3*A62</f>
        <v>268.622946356925</v>
      </c>
      <c r="AE62" s="30" t="n">
        <f aca="false">AD62*Z62</f>
        <v>243.014148869984</v>
      </c>
      <c r="AF62" s="28" t="n">
        <f aca="false">ABS(C62-AE62)/C62</f>
        <v>0.0356581394048255</v>
      </c>
    </row>
    <row r="63" customFormat="false" ht="15" hidden="false" customHeight="false" outlineLevel="0" collapsed="false">
      <c r="A63" s="8" t="n">
        <v>52</v>
      </c>
      <c r="B63" s="29" t="n">
        <f aca="false">EDATE(B62,1)</f>
        <v>45901</v>
      </c>
      <c r="C63" s="23" t="n">
        <f aca="false">Data!E56</f>
        <v>278</v>
      </c>
      <c r="Z63" s="33" t="n">
        <f aca="false">Z51</f>
        <v>0.913872051950387</v>
      </c>
      <c r="AD63" s="27" t="n">
        <f aca="false">$B$4+$B$3*A63</f>
        <v>269.472613924005</v>
      </c>
      <c r="AE63" s="30" t="n">
        <f aca="false">AD63*Z63</f>
        <v>246.263490631164</v>
      </c>
      <c r="AF63" s="28" t="n">
        <f aca="false">ABS(C63-AE63)/C63</f>
        <v>0.114160105643294</v>
      </c>
    </row>
    <row r="64" customFormat="false" ht="15" hidden="false" customHeight="false" outlineLevel="0" collapsed="false">
      <c r="A64" s="8" t="n">
        <v>53</v>
      </c>
      <c r="B64" s="29" t="n">
        <f aca="false">EDATE(B63,1)</f>
        <v>45931</v>
      </c>
      <c r="C64" s="23" t="n">
        <f aca="false">Data!E57</f>
        <v>278</v>
      </c>
      <c r="Z64" s="33" t="n">
        <f aca="false">Z52</f>
        <v>0.901555155936356</v>
      </c>
      <c r="AD64" s="27" t="n">
        <f aca="false">$B$4+$B$3*A64</f>
        <v>270.322281491084</v>
      </c>
      <c r="AE64" s="30" t="n">
        <f aca="false">AD64*Z64</f>
        <v>243.710446642766</v>
      </c>
      <c r="AF64" s="28" t="n">
        <f aca="false">ABS(C64-AE64)/C64</f>
        <v>0.123343717112353</v>
      </c>
    </row>
    <row r="65" customFormat="false" ht="15" hidden="false" customHeight="false" outlineLevel="0" collapsed="false">
      <c r="A65" s="8" t="n">
        <v>54</v>
      </c>
      <c r="B65" s="29" t="n">
        <f aca="false">EDATE(B64,1)</f>
        <v>45962</v>
      </c>
      <c r="C65" s="23" t="n">
        <f aca="false">Data!E58</f>
        <v>278</v>
      </c>
      <c r="Z65" s="33" t="n">
        <f aca="false">Z53</f>
        <v>0.926422387330668</v>
      </c>
      <c r="AD65" s="27" t="n">
        <f aca="false">$B$4+$B$3*A65</f>
        <v>271.171949058164</v>
      </c>
      <c r="AE65" s="30" t="n">
        <f aca="false">AD65*Z65</f>
        <v>251.219764423574</v>
      </c>
      <c r="AF65" s="28" t="n">
        <f aca="false">ABS(C65-AE65)/C65</f>
        <v>0.0963317826490127</v>
      </c>
    </row>
    <row r="66" customFormat="false" ht="15" hidden="false" customHeight="false" outlineLevel="0" collapsed="false">
      <c r="A66" s="8" t="n">
        <v>55</v>
      </c>
      <c r="B66" s="29" t="n">
        <f aca="false">EDATE(B65,1)</f>
        <v>45992</v>
      </c>
      <c r="C66" s="23" t="n">
        <f aca="false">Data!E59</f>
        <v>360</v>
      </c>
      <c r="Z66" s="33" t="n">
        <f aca="false">Z54</f>
        <v>1.1431929589302</v>
      </c>
      <c r="AD66" s="27" t="n">
        <f aca="false">$B$4+$B$3*A66</f>
        <v>272.021616625243</v>
      </c>
      <c r="AE66" s="30" t="n">
        <f aca="false">AD66*Z66</f>
        <v>310.973196802787</v>
      </c>
      <c r="AF66" s="28" t="n">
        <f aca="false">ABS(C66-AE66)/C66</f>
        <v>0.136185564436702</v>
      </c>
    </row>
    <row r="67" customFormat="false" ht="15" hidden="false" customHeight="false" outlineLevel="0" collapsed="false">
      <c r="A67" s="8" t="n">
        <v>56</v>
      </c>
      <c r="B67" s="29" t="n">
        <f aca="false">EDATE(B66,1)</f>
        <v>46023</v>
      </c>
      <c r="C67" s="23" t="n">
        <f aca="false">Data!E60</f>
        <v>282</v>
      </c>
      <c r="Z67" s="33" t="n">
        <f aca="false">Z55</f>
        <v>1.07007640211279</v>
      </c>
      <c r="AD67" s="27" t="n">
        <f aca="false">$B$4+$B$3*A67</f>
        <v>272.871284192323</v>
      </c>
      <c r="AE67" s="30" t="n">
        <f aca="false">AD67*Z67</f>
        <v>291.993122028418</v>
      </c>
      <c r="AF67" s="28" t="n">
        <f aca="false">ABS(C67-AE67)/C67</f>
        <v>0.0354366029376506</v>
      </c>
    </row>
    <row r="68" customFormat="false" ht="15" hidden="false" customHeight="false" outlineLevel="0" collapsed="false">
      <c r="A68" s="8" t="n">
        <v>57</v>
      </c>
      <c r="B68" s="29" t="n">
        <f aca="false">EDATE(B67,1)</f>
        <v>46054</v>
      </c>
      <c r="C68" s="23" t="n">
        <f aca="false">Data!E61</f>
        <v>307</v>
      </c>
      <c r="Z68" s="33" t="n">
        <f aca="false">Z56</f>
        <v>0.922018705885925</v>
      </c>
      <c r="AD68" s="27" t="n">
        <f aca="false">$B$4+$B$3*A68</f>
        <v>273.720951759403</v>
      </c>
      <c r="AE68" s="30" t="n">
        <f aca="false">AD68*Z68</f>
        <v>252.375837715068</v>
      </c>
      <c r="AF68" s="28" t="n">
        <f aca="false">ABS(C68-AE68)/C68</f>
        <v>0.177928867377628</v>
      </c>
    </row>
    <row r="69" customFormat="false" ht="15" hidden="false" customHeight="false" outlineLevel="0" collapsed="false">
      <c r="A69" s="8" t="n">
        <v>58</v>
      </c>
      <c r="B69" s="29" t="n">
        <f aca="false">EDATE(B68,1)</f>
        <v>46082</v>
      </c>
      <c r="C69" s="23" t="n">
        <f aca="false">Data!E62</f>
        <v>362</v>
      </c>
      <c r="Z69" s="33" t="n">
        <f aca="false">Z57</f>
        <v>1.05694522706773</v>
      </c>
      <c r="AD69" s="27" t="n">
        <f aca="false">$B$4+$B$3*A69</f>
        <v>274.570619326482</v>
      </c>
      <c r="AE69" s="30" t="n">
        <f aca="false">AD69*Z69</f>
        <v>290.206105590156</v>
      </c>
      <c r="AF69" s="28" t="n">
        <f aca="false">ABS(C69-AE69)/C69</f>
        <v>0.198325675165316</v>
      </c>
    </row>
    <row r="70" customFormat="false" ht="15" hidden="false" customHeight="false" outlineLevel="0" collapsed="false">
      <c r="A70" s="8" t="n">
        <v>59</v>
      </c>
      <c r="B70" s="29" t="n">
        <f aca="false">EDATE(B69,1)</f>
        <v>46113</v>
      </c>
      <c r="C70" s="23" t="n">
        <f aca="false">Data!E63</f>
        <v>270</v>
      </c>
      <c r="Z70" s="33" t="n">
        <f aca="false">Z58</f>
        <v>1.21031973593786</v>
      </c>
      <c r="AD70" s="27" t="n">
        <f aca="false">$B$4+$B$3*A70</f>
        <v>275.420286893562</v>
      </c>
      <c r="AE70" s="30" t="n">
        <f aca="false">AD70*Z70</f>
        <v>333.346608904944</v>
      </c>
      <c r="AF70" s="28" t="n">
        <f aca="false">ABS(C70-AE70)/C70</f>
        <v>0.234617070018312</v>
      </c>
    </row>
    <row r="71" customFormat="false" ht="15" hidden="false" customHeight="false" outlineLevel="0" collapsed="false">
      <c r="A71" s="8" t="n">
        <v>60</v>
      </c>
      <c r="B71" s="29" t="n">
        <f aca="false">EDATE(B70,1)</f>
        <v>46143</v>
      </c>
      <c r="C71" s="23" t="n">
        <f aca="false">Data!E64</f>
        <v>294</v>
      </c>
      <c r="Z71" s="33" t="n">
        <f aca="false">Z59</f>
        <v>0.963075182172839</v>
      </c>
      <c r="AD71" s="27" t="n">
        <f aca="false">$B$4+$B$3*A71</f>
        <v>276.269954460641</v>
      </c>
      <c r="AE71" s="30" t="n">
        <f aca="false">AD71*Z71</f>
        <v>266.068736721064</v>
      </c>
      <c r="AF71" s="28" t="n">
        <f aca="false">ABS(C71-AE71)/C71</f>
        <v>0.0950042968671298</v>
      </c>
    </row>
  </sheetData>
  <mergeCells count="4">
    <mergeCell ref="A10:C10"/>
    <mergeCell ref="D10:O10"/>
    <mergeCell ref="P10:AC10"/>
    <mergeCell ref="AD10:A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2" min="3" style="0" width="11"/>
  </cols>
  <sheetData>
    <row r="1" customFormat="false" ht="16.15" hidden="false" customHeight="false" outlineLevel="0" collapsed="false">
      <c r="A1" s="5" t="s">
        <v>123</v>
      </c>
    </row>
    <row r="3" customFormat="false" ht="15" hidden="false" customHeight="false" outlineLevel="0" collapsed="false">
      <c r="A3" s="12" t="s">
        <v>81</v>
      </c>
      <c r="B3" s="17" t="n">
        <f aca="false">SLOPE(AB18:AB65,A18:A65)</f>
        <v>1.07279825189944</v>
      </c>
      <c r="C3" s="6" t="s">
        <v>82</v>
      </c>
    </row>
    <row r="4" customFormat="false" ht="15" hidden="false" customHeight="false" outlineLevel="0" collapsed="false">
      <c r="A4" s="12" t="s">
        <v>83</v>
      </c>
      <c r="B4" s="17" t="n">
        <f aca="false">INTERCEPT(AB18:AB65,A18:A65)</f>
        <v>220.2788001674</v>
      </c>
      <c r="C4" s="6" t="s">
        <v>84</v>
      </c>
    </row>
    <row r="5" customFormat="false" ht="15" hidden="false" customHeight="false" outlineLevel="0" collapsed="false">
      <c r="A5" s="12" t="s">
        <v>73</v>
      </c>
      <c r="B5" s="6" t="s">
        <v>74</v>
      </c>
      <c r="C5" s="6" t="s">
        <v>85</v>
      </c>
    </row>
    <row r="6" customFormat="false" ht="15" hidden="false" customHeight="false" outlineLevel="0" collapsed="false">
      <c r="A6" s="12" t="s">
        <v>86</v>
      </c>
      <c r="B6" s="15" t="n">
        <v>7</v>
      </c>
      <c r="C6" s="6" t="s">
        <v>87</v>
      </c>
    </row>
    <row r="7" customFormat="false" ht="15" hidden="false" customHeight="false" outlineLevel="0" collapsed="false">
      <c r="A7" s="12" t="s">
        <v>88</v>
      </c>
      <c r="B7" s="31" t="n">
        <f aca="false">B8-6</f>
        <v>54</v>
      </c>
    </row>
    <row r="8" customFormat="false" ht="15" hidden="false" customHeight="false" outlineLevel="0" collapsed="false">
      <c r="A8" s="12" t="s">
        <v>89</v>
      </c>
      <c r="B8" s="15" t="n">
        <v>60</v>
      </c>
    </row>
    <row r="9" customFormat="false" ht="15" hidden="false" customHeight="false" outlineLevel="0" collapsed="false">
      <c r="A9" s="12" t="s">
        <v>75</v>
      </c>
      <c r="B9" s="20" t="n">
        <f aca="false">AVERAGE(AF24:AF71)</f>
        <v>0.0467651197544244</v>
      </c>
    </row>
    <row r="10" customFormat="false" ht="15" hidden="false" customHeight="true" outlineLevel="0" collapsed="false">
      <c r="A10" s="32" t="s">
        <v>90</v>
      </c>
      <c r="B10" s="32"/>
      <c r="C10" s="32"/>
      <c r="D10" s="32" t="s">
        <v>91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 t="s">
        <v>92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 t="s">
        <v>64</v>
      </c>
      <c r="AE10" s="32"/>
      <c r="AF10" s="32"/>
    </row>
    <row r="11" customFormat="false" ht="42" hidden="false" customHeight="true" outlineLevel="0" collapsed="false">
      <c r="A11" s="7" t="s">
        <v>21</v>
      </c>
      <c r="B11" s="7" t="s">
        <v>22</v>
      </c>
      <c r="C11" s="7" t="s">
        <v>93</v>
      </c>
      <c r="D11" s="7" t="s">
        <v>94</v>
      </c>
      <c r="E11" s="7" t="s">
        <v>95</v>
      </c>
      <c r="F11" s="7" t="s">
        <v>96</v>
      </c>
      <c r="G11" s="7" t="s">
        <v>97</v>
      </c>
      <c r="H11" s="7" t="s">
        <v>98</v>
      </c>
      <c r="I11" s="7" t="s">
        <v>99</v>
      </c>
      <c r="J11" s="7" t="s">
        <v>100</v>
      </c>
      <c r="K11" s="7" t="s">
        <v>101</v>
      </c>
      <c r="L11" s="7" t="s">
        <v>102</v>
      </c>
      <c r="M11" s="7" t="s">
        <v>103</v>
      </c>
      <c r="N11" s="7" t="s">
        <v>104</v>
      </c>
      <c r="O11" s="7" t="s">
        <v>105</v>
      </c>
      <c r="P11" s="7" t="s">
        <v>106</v>
      </c>
      <c r="Q11" s="7" t="s">
        <v>107</v>
      </c>
      <c r="R11" s="7" t="s">
        <v>108</v>
      </c>
      <c r="S11" s="7" t="s">
        <v>109</v>
      </c>
      <c r="T11" s="7" t="s">
        <v>110</v>
      </c>
      <c r="U11" s="7" t="s">
        <v>111</v>
      </c>
      <c r="V11" s="7" t="s">
        <v>112</v>
      </c>
      <c r="W11" s="7" t="s">
        <v>113</v>
      </c>
      <c r="X11" s="7" t="s">
        <v>114</v>
      </c>
      <c r="Y11" s="7" t="s">
        <v>115</v>
      </c>
      <c r="Z11" s="7" t="s">
        <v>116</v>
      </c>
      <c r="AA11" s="7" t="s">
        <v>117</v>
      </c>
      <c r="AB11" s="7" t="s">
        <v>118</v>
      </c>
      <c r="AC11" s="7" t="s">
        <v>119</v>
      </c>
      <c r="AD11" s="7" t="s">
        <v>120</v>
      </c>
      <c r="AE11" s="7" t="s">
        <v>64</v>
      </c>
      <c r="AF11" s="7" t="s">
        <v>65</v>
      </c>
    </row>
    <row r="12" customFormat="false" ht="15" hidden="false" customHeight="false" outlineLevel="0" collapsed="false">
      <c r="A12" s="8" t="n">
        <v>1</v>
      </c>
      <c r="B12" s="22" t="n">
        <f aca="false">Data!B5</f>
        <v>44348</v>
      </c>
      <c r="C12" s="23" t="n">
        <f aca="false">Data!E5</f>
        <v>221</v>
      </c>
      <c r="D12" s="27" t="str">
        <f aca="false">IF(AND($A12&gt;=$B$6,$A12&lt;=$B$7),SUMPRODUCT(Bobot_Filter!$B$4:$B$16,C6:C18),"")</f>
        <v/>
      </c>
      <c r="E12" s="25" t="str">
        <f aca="false">IF(ISNUMBER(D12),C12/D12,"")</f>
        <v/>
      </c>
      <c r="F12" s="25" t="str">
        <f aca="false">IF(AND($A12+(-24)&gt;=1,$A12+(-24)&lt;=$B$8),INDEX($E$12:$E$71,$A12+(-24)),"")</f>
        <v/>
      </c>
      <c r="G12" s="25" t="str">
        <f aca="false">IF(AND($A12+(-12)&gt;=1,$A12+(-12)&lt;=$B$8),INDEX($E$12:$E$71,$A12+(-12)),"")</f>
        <v/>
      </c>
      <c r="H12" s="25" t="str">
        <f aca="false">IF(AND($A12+(0)&gt;=1,$A12+(0)&lt;=$B$8),INDEX($E$12:$E$71,$A12+(0)),"")</f>
        <v/>
      </c>
      <c r="I12" s="25" t="n">
        <f aca="false">IF(AND($A12+(12)&gt;=1,$A12+(12)&lt;=$B$8),INDEX($E$12:$E$71,$A12+(12)),"")</f>
        <v>0.977841315225161</v>
      </c>
      <c r="J12" s="25" t="n">
        <f aca="false">IF(AND($A12+(24)&gt;=1,$A12+(24)&lt;=$B$8),INDEX($E$12:$E$71,$A12+(24)),"")</f>
        <v>0.927055702917772</v>
      </c>
      <c r="K12" s="25" t="n">
        <f aca="false">IF(SUMPRODUCT(Bobot_Filter!$B$38:$F$38,ISNUMBER(F12:J12)*1)&gt;0,SUMPRODUCT(Bobot_Filter!$B$38:$F$38,F12:J12)/SUMPRODUCT(Bobot_Filter!$B$38:$F$38,ISNUMBER(F12:J12)*1),"")</f>
        <v>0.960912777789365</v>
      </c>
      <c r="L12" s="25" t="str">
        <f aca="false">IF(AND($A12&gt;=$B$6,$A12&lt;=$B$7),SUMPRODUCT(Bobot_Filter!$B$4:$B$16,K6:K18),"")</f>
        <v/>
      </c>
      <c r="M12" s="25" t="n">
        <f aca="false">K12/INDEX($L$12:$L$71,MAX($B$6,MIN($A12,$B$7)))</f>
        <v>0.964617346013421</v>
      </c>
      <c r="N12" s="27" t="n">
        <f aca="false">C12/M12</f>
        <v>229.106392201375</v>
      </c>
      <c r="O12" s="27" t="str">
        <f aca="false">IF(AND($A12&gt;=$B$6,$A12&lt;=$B$7),SUMPRODUCT(Bobot_Filter!$B$20:$B$32,N6:N18),"")</f>
        <v/>
      </c>
      <c r="P12" s="25" t="str">
        <f aca="false">IF(ISNUMBER(O12),C12/O12,"")</f>
        <v/>
      </c>
      <c r="Q12" s="25" t="str">
        <f aca="false">IF(AND($A12+(-36)&gt;=1,$A12+(-36)&lt;=$B$8),INDEX($P$12:$P$71,$A12+(-36)),"")</f>
        <v/>
      </c>
      <c r="R12" s="25" t="str">
        <f aca="false">IF(AND($A12+(-24)&gt;=1,$A12+(-24)&lt;=$B$8),INDEX($P$12:$P$71,$A12+(-24)),"")</f>
        <v/>
      </c>
      <c r="S12" s="25" t="str">
        <f aca="false">IF(AND($A12+(-12)&gt;=1,$A12+(-12)&lt;=$B$8),INDEX($P$12:$P$71,$A12+(-12)),"")</f>
        <v/>
      </c>
      <c r="T12" s="25" t="str">
        <f aca="false">IF(AND($A12+(0)&gt;=1,$A12+(0)&lt;=$B$8),INDEX($P$12:$P$71,$A12+(0)),"")</f>
        <v/>
      </c>
      <c r="U12" s="25" t="n">
        <f aca="false">IF(AND($A12+(12)&gt;=1,$A12+(12)&lt;=$B$8),INDEX($P$12:$P$71,$A12+(12)),"")</f>
        <v>0.961218278209873</v>
      </c>
      <c r="V12" s="25" t="n">
        <f aca="false">IF(AND($A12+(24)&gt;=1,$A12+(24)&lt;=$B$8),INDEX($P$12:$P$71,$A12+(24)),"")</f>
        <v>0.926297999942602</v>
      </c>
      <c r="W12" s="25" t="n">
        <f aca="false">IF(AND($A12+(36)&gt;=1,$A12+(36)&lt;=$B$8),INDEX($P$12:$P$71,$A12+(36)),"")</f>
        <v>0.921178835309406</v>
      </c>
      <c r="X12" s="25" t="n">
        <f aca="false">IF(SUMPRODUCT(Bobot_Filter!$B$43:$H$43,ISNUMBER(Q12:W12)*1)&gt;0,SUMPRODUCT(Bobot_Filter!$B$43:$H$43,Q12:W12)/SUMPRODUCT(Bobot_Filter!$B$43:$H$43,ISNUMBER(Q12:W12)*1),"")</f>
        <v>0.942904944970705</v>
      </c>
      <c r="Y12" s="25" t="str">
        <f aca="false">IF(AND($A12&gt;=$B$6,$A12&lt;=$B$7),SUMPRODUCT(Bobot_Filter!$B$4:$B$16,X6:X18),"")</f>
        <v/>
      </c>
      <c r="Z12" s="33" t="n">
        <f aca="false">X12/INDEX($Y$12:$Y$71,MAX($B$6,MIN($A12,$B$7)))</f>
        <v>0.943725404422501</v>
      </c>
      <c r="AA12" s="27" t="n">
        <f aca="false">C12/Z12</f>
        <v>234.178288477079</v>
      </c>
      <c r="AB12" s="27" t="str">
        <f aca="false">IF(AND($A12&gt;=$B$6,$A12&lt;=$B$7),SUMPRODUCT(Bobot_Filter!$B$20:$B$32,AA6:AA18),"")</f>
        <v/>
      </c>
      <c r="AC12" s="25" t="str">
        <f aca="false">IF(ISNUMBER(AB12),AA12/AB12,"")</f>
        <v/>
      </c>
      <c r="AD12" s="27" t="n">
        <f aca="false">$B$4+$B$3*A12</f>
        <v>221.351598419299</v>
      </c>
      <c r="AE12" s="27" t="n">
        <f aca="false">AD12*Z12</f>
        <v>208.89512673782</v>
      </c>
    </row>
    <row r="13" customFormat="false" ht="15" hidden="false" customHeight="false" outlineLevel="0" collapsed="false">
      <c r="A13" s="8" t="n">
        <v>2</v>
      </c>
      <c r="B13" s="22" t="n">
        <f aca="false">Data!B6</f>
        <v>44378</v>
      </c>
      <c r="C13" s="23" t="n">
        <f aca="false">Data!E6</f>
        <v>238</v>
      </c>
      <c r="D13" s="27" t="str">
        <f aca="false">IF(AND($A13&gt;=$B$6,$A13&lt;=$B$7),SUMPRODUCT(Bobot_Filter!$B$4:$B$16,C7:C19),"")</f>
        <v/>
      </c>
      <c r="E13" s="25" t="str">
        <f aca="false">IF(ISNUMBER(D13),C13/D13,"")</f>
        <v/>
      </c>
      <c r="F13" s="25" t="str">
        <f aca="false">IF(AND($A13+(-24)&gt;=1,$A13+(-24)&lt;=$B$8),INDEX($E$12:$E$71,$A13+(-24)),"")</f>
        <v/>
      </c>
      <c r="G13" s="25" t="str">
        <f aca="false">IF(AND($A13+(-12)&gt;=1,$A13+(-12)&lt;=$B$8),INDEX($E$12:$E$71,$A13+(-12)),"")</f>
        <v/>
      </c>
      <c r="H13" s="25" t="str">
        <f aca="false">IF(AND($A13+(0)&gt;=1,$A13+(0)&lt;=$B$8),INDEX($E$12:$E$71,$A13+(0)),"")</f>
        <v/>
      </c>
      <c r="I13" s="25" t="n">
        <f aca="false">IF(AND($A13+(12)&gt;=1,$A13+(12)&lt;=$B$8),INDEX($E$12:$E$71,$A13+(12)),"")</f>
        <v>1.04700854700855</v>
      </c>
      <c r="J13" s="25" t="n">
        <f aca="false">IF(AND($A13+(24)&gt;=1,$A13+(24)&lt;=$B$8),INDEX($E$12:$E$71,$A13+(24)),"")</f>
        <v>1.05450941526264</v>
      </c>
      <c r="K13" s="25" t="n">
        <f aca="false">IF(SUMPRODUCT(Bobot_Filter!$B$38:$F$38,ISNUMBER(F13:J13)*1)&gt;0,SUMPRODUCT(Bobot_Filter!$B$38:$F$38,F13:J13)/SUMPRODUCT(Bobot_Filter!$B$38:$F$38,ISNUMBER(F13:J13)*1),"")</f>
        <v>1.04950883642658</v>
      </c>
      <c r="L13" s="25" t="str">
        <f aca="false">IF(AND($A13&gt;=$B$6,$A13&lt;=$B$7),SUMPRODUCT(Bobot_Filter!$B$4:$B$16,K7:K19),"")</f>
        <v/>
      </c>
      <c r="M13" s="25" t="n">
        <f aca="false">K13/INDEX($L$12:$L$71,MAX($B$6,MIN($A13,$B$7)))</f>
        <v>1.05355496545739</v>
      </c>
      <c r="N13" s="27" t="n">
        <f aca="false">C13/M13</f>
        <v>225.901835028298</v>
      </c>
      <c r="O13" s="27" t="str">
        <f aca="false">IF(AND($A13&gt;=$B$6,$A13&lt;=$B$7),SUMPRODUCT(Bobot_Filter!$B$20:$B$32,N7:N19),"")</f>
        <v/>
      </c>
      <c r="P13" s="25" t="str">
        <f aca="false">IF(ISNUMBER(O13),C13/O13,"")</f>
        <v/>
      </c>
      <c r="Q13" s="25" t="str">
        <f aca="false">IF(AND($A13+(-36)&gt;=1,$A13+(-36)&lt;=$B$8),INDEX($P$12:$P$71,$A13+(-36)),"")</f>
        <v/>
      </c>
      <c r="R13" s="25" t="str">
        <f aca="false">IF(AND($A13+(-24)&gt;=1,$A13+(-24)&lt;=$B$8),INDEX($P$12:$P$71,$A13+(-24)),"")</f>
        <v/>
      </c>
      <c r="S13" s="25" t="str">
        <f aca="false">IF(AND($A13+(-12)&gt;=1,$A13+(-12)&lt;=$B$8),INDEX($P$12:$P$71,$A13+(-12)),"")</f>
        <v/>
      </c>
      <c r="T13" s="25" t="str">
        <f aca="false">IF(AND($A13+(0)&gt;=1,$A13+(0)&lt;=$B$8),INDEX($P$12:$P$71,$A13+(0)),"")</f>
        <v/>
      </c>
      <c r="U13" s="25" t="n">
        <f aca="false">IF(AND($A13+(12)&gt;=1,$A13+(12)&lt;=$B$8),INDEX($P$12:$P$71,$A13+(12)),"")</f>
        <v>1.02844579819639</v>
      </c>
      <c r="V13" s="25" t="n">
        <f aca="false">IF(AND($A13+(24)&gt;=1,$A13+(24)&lt;=$B$8),INDEX($P$12:$P$71,$A13+(24)),"")</f>
        <v>1.04671826253787</v>
      </c>
      <c r="W13" s="25" t="n">
        <f aca="false">IF(AND($A13+(36)&gt;=1,$A13+(36)&lt;=$B$8),INDEX($P$12:$P$71,$A13+(36)),"")</f>
        <v>1.02519522355521</v>
      </c>
      <c r="X13" s="25" t="n">
        <f aca="false">IF(SUMPRODUCT(Bobot_Filter!$B$43:$H$43,ISNUMBER(Q13:W13)*1)&gt;0,SUMPRODUCT(Bobot_Filter!$B$43:$H$43,Q13:W13)/SUMPRODUCT(Bobot_Filter!$B$43:$H$43,ISNUMBER(Q13:W13)*1),"")</f>
        <v>1.03399485720336</v>
      </c>
      <c r="Y13" s="25" t="str">
        <f aca="false">IF(AND($A13&gt;=$B$6,$A13&lt;=$B$7),SUMPRODUCT(Bobot_Filter!$B$4:$B$16,X7:X19),"")</f>
        <v/>
      </c>
      <c r="Z13" s="33" t="n">
        <f aca="false">X13/INDEX($Y$12:$Y$71,MAX($B$6,MIN($A13,$B$7)))</f>
        <v>1.03489457764519</v>
      </c>
      <c r="AA13" s="27" t="n">
        <f aca="false">C13/Z13</f>
        <v>229.975115476541</v>
      </c>
      <c r="AB13" s="27" t="str">
        <f aca="false">IF(AND($A13&gt;=$B$6,$A13&lt;=$B$7),SUMPRODUCT(Bobot_Filter!$B$20:$B$32,AA7:AA19),"")</f>
        <v/>
      </c>
      <c r="AC13" s="25" t="str">
        <f aca="false">IF(ISNUMBER(AB13),AA13/AB13,"")</f>
        <v/>
      </c>
      <c r="AD13" s="27" t="n">
        <f aca="false">$B$4+$B$3*A13</f>
        <v>222.424396671198</v>
      </c>
      <c r="AE13" s="27" t="n">
        <f aca="false">AD13*Z13</f>
        <v>230.185802051027</v>
      </c>
    </row>
    <row r="14" customFormat="false" ht="15" hidden="false" customHeight="false" outlineLevel="0" collapsed="false">
      <c r="A14" s="8" t="n">
        <v>3</v>
      </c>
      <c r="B14" s="22" t="n">
        <f aca="false">Data!B7</f>
        <v>44409</v>
      </c>
      <c r="C14" s="23" t="n">
        <f aca="false">Data!E7</f>
        <v>222</v>
      </c>
      <c r="D14" s="27" t="str">
        <f aca="false">IF(AND($A14&gt;=$B$6,$A14&lt;=$B$7),SUMPRODUCT(Bobot_Filter!$B$4:$B$16,C8:C20),"")</f>
        <v/>
      </c>
      <c r="E14" s="25" t="str">
        <f aca="false">IF(ISNUMBER(D14),C14/D14,"")</f>
        <v/>
      </c>
      <c r="F14" s="25" t="str">
        <f aca="false">IF(AND($A14+(-24)&gt;=1,$A14+(-24)&lt;=$B$8),INDEX($E$12:$E$71,$A14+(-24)),"")</f>
        <v/>
      </c>
      <c r="G14" s="25" t="str">
        <f aca="false">IF(AND($A14+(-12)&gt;=1,$A14+(-12)&lt;=$B$8),INDEX($E$12:$E$71,$A14+(-12)),"")</f>
        <v/>
      </c>
      <c r="H14" s="25" t="str">
        <f aca="false">IF(AND($A14+(0)&gt;=1,$A14+(0)&lt;=$B$8),INDEX($E$12:$E$71,$A14+(0)),"")</f>
        <v/>
      </c>
      <c r="I14" s="25" t="n">
        <f aca="false">IF(AND($A14+(12)&gt;=1,$A14+(12)&lt;=$B$8),INDEX($E$12:$E$71,$A14+(12)),"")</f>
        <v>0.94208766062313</v>
      </c>
      <c r="J14" s="25" t="n">
        <f aca="false">IF(AND($A14+(24)&gt;=1,$A14+(24)&lt;=$B$8),INDEX($E$12:$E$71,$A14+(24)),"")</f>
        <v>0.89064039408867</v>
      </c>
      <c r="K14" s="25" t="n">
        <f aca="false">IF(SUMPRODUCT(Bobot_Filter!$B$38:$F$38,ISNUMBER(F14:J14)*1)&gt;0,SUMPRODUCT(Bobot_Filter!$B$38:$F$38,F14:J14)/SUMPRODUCT(Bobot_Filter!$B$38:$F$38,ISNUMBER(F14:J14)*1),"")</f>
        <v>0.92493857177831</v>
      </c>
      <c r="L14" s="25" t="str">
        <f aca="false">IF(AND($A14&gt;=$B$6,$A14&lt;=$B$7),SUMPRODUCT(Bobot_Filter!$B$4:$B$16,K8:K20),"")</f>
        <v/>
      </c>
      <c r="M14" s="25" t="n">
        <f aca="false">K14/INDEX($L$12:$L$71,MAX($B$6,MIN($A14,$B$7)))</f>
        <v>0.928504450098814</v>
      </c>
      <c r="N14" s="27" t="n">
        <f aca="false">C14/M14</f>
        <v>239.094169097816</v>
      </c>
      <c r="O14" s="27" t="str">
        <f aca="false">IF(AND($A14&gt;=$B$6,$A14&lt;=$B$7),SUMPRODUCT(Bobot_Filter!$B$20:$B$32,N8:N20),"")</f>
        <v/>
      </c>
      <c r="P14" s="25" t="str">
        <f aca="false">IF(ISNUMBER(O14),C14/O14,"")</f>
        <v/>
      </c>
      <c r="Q14" s="25" t="str">
        <f aca="false">IF(AND($A14+(-36)&gt;=1,$A14+(-36)&lt;=$B$8),INDEX($P$12:$P$71,$A14+(-36)),"")</f>
        <v/>
      </c>
      <c r="R14" s="25" t="str">
        <f aca="false">IF(AND($A14+(-24)&gt;=1,$A14+(-24)&lt;=$B$8),INDEX($P$12:$P$71,$A14+(-24)),"")</f>
        <v/>
      </c>
      <c r="S14" s="25" t="str">
        <f aca="false">IF(AND($A14+(-12)&gt;=1,$A14+(-12)&lt;=$B$8),INDEX($P$12:$P$71,$A14+(-12)),"")</f>
        <v/>
      </c>
      <c r="T14" s="25" t="str">
        <f aca="false">IF(AND($A14+(0)&gt;=1,$A14+(0)&lt;=$B$8),INDEX($P$12:$P$71,$A14+(0)),"")</f>
        <v/>
      </c>
      <c r="U14" s="25" t="n">
        <f aca="false">IF(AND($A14+(12)&gt;=1,$A14+(12)&lt;=$B$8),INDEX($P$12:$P$71,$A14+(12)),"")</f>
        <v>0.938718003678862</v>
      </c>
      <c r="V14" s="25" t="n">
        <f aca="false">IF(AND($A14+(24)&gt;=1,$A14+(24)&lt;=$B$8),INDEX($P$12:$P$71,$A14+(24)),"")</f>
        <v>0.881774714221948</v>
      </c>
      <c r="W14" s="25" t="n">
        <f aca="false">IF(AND($A14+(36)&gt;=1,$A14+(36)&lt;=$B$8),INDEX($P$12:$P$71,$A14+(36)),"")</f>
        <v>0.896070263888533</v>
      </c>
      <c r="X14" s="25" t="n">
        <f aca="false">IF(SUMPRODUCT(Bobot_Filter!$B$43:$H$43,ISNUMBER(Q14:W14)*1)&gt;0,SUMPRODUCT(Bobot_Filter!$B$43:$H$43,Q14:W14)/SUMPRODUCT(Bobot_Filter!$B$43:$H$43,ISNUMBER(Q14:W14)*1),"")</f>
        <v>0.912628950561502</v>
      </c>
      <c r="Y14" s="25" t="str">
        <f aca="false">IF(AND($A14&gt;=$B$6,$A14&lt;=$B$7),SUMPRODUCT(Bobot_Filter!$B$4:$B$16,X8:X20),"")</f>
        <v/>
      </c>
      <c r="Z14" s="33" t="n">
        <f aca="false">X14/INDEX($Y$12:$Y$71,MAX($B$6,MIN($A14,$B$7)))</f>
        <v>0.913423065654932</v>
      </c>
      <c r="AA14" s="27" t="n">
        <f aca="false">C14/Z14</f>
        <v>243.041815285039</v>
      </c>
      <c r="AB14" s="27" t="str">
        <f aca="false">IF(AND($A14&gt;=$B$6,$A14&lt;=$B$7),SUMPRODUCT(Bobot_Filter!$B$20:$B$32,AA8:AA20),"")</f>
        <v/>
      </c>
      <c r="AC14" s="25" t="str">
        <f aca="false">IF(ISNUMBER(AB14),AA14/AB14,"")</f>
        <v/>
      </c>
      <c r="AD14" s="27" t="n">
        <f aca="false">$B$4+$B$3*A14</f>
        <v>223.497194923098</v>
      </c>
      <c r="AE14" s="27" t="n">
        <f aca="false">AD14*Z14</f>
        <v>204.147492951934</v>
      </c>
    </row>
    <row r="15" customFormat="false" ht="15" hidden="false" customHeight="false" outlineLevel="0" collapsed="false">
      <c r="A15" s="8" t="n">
        <v>4</v>
      </c>
      <c r="B15" s="22" t="n">
        <f aca="false">Data!B8</f>
        <v>44440</v>
      </c>
      <c r="C15" s="23" t="n">
        <f aca="false">Data!E8</f>
        <v>204</v>
      </c>
      <c r="D15" s="27" t="str">
        <f aca="false">IF(AND($A15&gt;=$B$6,$A15&lt;=$B$7),SUMPRODUCT(Bobot_Filter!$B$4:$B$16,C9:C21),"")</f>
        <v/>
      </c>
      <c r="E15" s="25" t="str">
        <f aca="false">IF(ISNUMBER(D15),C15/D15,"")</f>
        <v/>
      </c>
      <c r="F15" s="25" t="str">
        <f aca="false">IF(AND($A15+(-24)&gt;=1,$A15+(-24)&lt;=$B$8),INDEX($E$12:$E$71,$A15+(-24)),"")</f>
        <v/>
      </c>
      <c r="G15" s="25" t="str">
        <f aca="false">IF(AND($A15+(-12)&gt;=1,$A15+(-12)&lt;=$B$8),INDEX($E$12:$E$71,$A15+(-12)),"")</f>
        <v/>
      </c>
      <c r="H15" s="25" t="str">
        <f aca="false">IF(AND($A15+(0)&gt;=1,$A15+(0)&lt;=$B$8),INDEX($E$12:$E$71,$A15+(0)),"")</f>
        <v/>
      </c>
      <c r="I15" s="25" t="n">
        <f aca="false">IF(AND($A15+(12)&gt;=1,$A15+(12)&lt;=$B$8),INDEX($E$12:$E$71,$A15+(12)),"")</f>
        <v>0.857886517438834</v>
      </c>
      <c r="J15" s="25" t="n">
        <f aca="false">IF(AND($A15+(24)&gt;=1,$A15+(24)&lt;=$B$8),INDEX($E$12:$E$71,$A15+(24)),"")</f>
        <v>0.946853602869254</v>
      </c>
      <c r="K15" s="25" t="n">
        <f aca="false">IF(SUMPRODUCT(Bobot_Filter!$B$38:$F$38,ISNUMBER(F15:J15)*1)&gt;0,SUMPRODUCT(Bobot_Filter!$B$38:$F$38,F15:J15)/SUMPRODUCT(Bobot_Filter!$B$38:$F$38,ISNUMBER(F15:J15)*1),"")</f>
        <v>0.887542212582307</v>
      </c>
      <c r="L15" s="25" t="str">
        <f aca="false">IF(AND($A15&gt;=$B$6,$A15&lt;=$B$7),SUMPRODUCT(Bobot_Filter!$B$4:$B$16,K9:K21),"")</f>
        <v/>
      </c>
      <c r="M15" s="25" t="n">
        <f aca="false">K15/INDEX($L$12:$L$71,MAX($B$6,MIN($A15,$B$7)))</f>
        <v>0.890963918229521</v>
      </c>
      <c r="N15" s="27" t="n">
        <f aca="false">C15/M15</f>
        <v>228.965501100627</v>
      </c>
      <c r="O15" s="27" t="str">
        <f aca="false">IF(AND($A15&gt;=$B$6,$A15&lt;=$B$7),SUMPRODUCT(Bobot_Filter!$B$20:$B$32,N9:N21),"")</f>
        <v/>
      </c>
      <c r="P15" s="25" t="str">
        <f aca="false">IF(ISNUMBER(O15),C15/O15,"")</f>
        <v/>
      </c>
      <c r="Q15" s="25" t="str">
        <f aca="false">IF(AND($A15+(-36)&gt;=1,$A15+(-36)&lt;=$B$8),INDEX($P$12:$P$71,$A15+(-36)),"")</f>
        <v/>
      </c>
      <c r="R15" s="25" t="str">
        <f aca="false">IF(AND($A15+(-24)&gt;=1,$A15+(-24)&lt;=$B$8),INDEX($P$12:$P$71,$A15+(-24)),"")</f>
        <v/>
      </c>
      <c r="S15" s="25" t="str">
        <f aca="false">IF(AND($A15+(-12)&gt;=1,$A15+(-12)&lt;=$B$8),INDEX($P$12:$P$71,$A15+(-12)),"")</f>
        <v/>
      </c>
      <c r="T15" s="25" t="str">
        <f aca="false">IF(AND($A15+(0)&gt;=1,$A15+(0)&lt;=$B$8),INDEX($P$12:$P$71,$A15+(0)),"")</f>
        <v/>
      </c>
      <c r="U15" s="25" t="n">
        <f aca="false">IF(AND($A15+(12)&gt;=1,$A15+(12)&lt;=$B$8),INDEX($P$12:$P$71,$A15+(12)),"")</f>
        <v>0.869445103412822</v>
      </c>
      <c r="V15" s="25" t="n">
        <f aca="false">IF(AND($A15+(24)&gt;=1,$A15+(24)&lt;=$B$8),INDEX($P$12:$P$71,$A15+(24)),"")</f>
        <v>0.938870773751043</v>
      </c>
      <c r="W15" s="25" t="n">
        <f aca="false">IF(AND($A15+(36)&gt;=1,$A15+(36)&lt;=$B$8),INDEX($P$12:$P$71,$A15+(36)),"")</f>
        <v>0.920866963360894</v>
      </c>
      <c r="X15" s="25" t="n">
        <f aca="false">IF(SUMPRODUCT(Bobot_Filter!$B$43:$H$43,ISNUMBER(Q15:W15)*1)&gt;0,SUMPRODUCT(Bobot_Filter!$B$43:$H$43,Q15:W15)/SUMPRODUCT(Bobot_Filter!$B$43:$H$43,ISNUMBER(Q15:W15)*1),"")</f>
        <v>0.901157303516908</v>
      </c>
      <c r="Y15" s="25" t="str">
        <f aca="false">IF(AND($A15&gt;=$B$6,$A15&lt;=$B$7),SUMPRODUCT(Bobot_Filter!$B$4:$B$16,X9:X21),"")</f>
        <v/>
      </c>
      <c r="Z15" s="33" t="n">
        <f aca="false">X15/INDEX($Y$12:$Y$71,MAX($B$6,MIN($A15,$B$7)))</f>
        <v>0.901941436669638</v>
      </c>
      <c r="AA15" s="27" t="n">
        <f aca="false">C15/Z15</f>
        <v>226.178764724744</v>
      </c>
      <c r="AB15" s="27" t="str">
        <f aca="false">IF(AND($A15&gt;=$B$6,$A15&lt;=$B$7),SUMPRODUCT(Bobot_Filter!$B$20:$B$32,AA9:AA21),"")</f>
        <v/>
      </c>
      <c r="AC15" s="25" t="str">
        <f aca="false">IF(ISNUMBER(AB15),AA15/AB15,"")</f>
        <v/>
      </c>
      <c r="AD15" s="27" t="n">
        <f aca="false">$B$4+$B$3*A15</f>
        <v>224.569993174997</v>
      </c>
      <c r="AE15" s="27" t="n">
        <f aca="false">AD15*Z15</f>
        <v>202.548982277148</v>
      </c>
    </row>
    <row r="16" customFormat="false" ht="15" hidden="false" customHeight="false" outlineLevel="0" collapsed="false">
      <c r="A16" s="8" t="n">
        <v>5</v>
      </c>
      <c r="B16" s="22" t="n">
        <f aca="false">Data!B9</f>
        <v>44470</v>
      </c>
      <c r="C16" s="23" t="n">
        <f aca="false">Data!E9</f>
        <v>221</v>
      </c>
      <c r="D16" s="27" t="str">
        <f aca="false">IF(AND($A16&gt;=$B$6,$A16&lt;=$B$7),SUMPRODUCT(Bobot_Filter!$B$4:$B$16,C10:C22),"")</f>
        <v/>
      </c>
      <c r="E16" s="25" t="str">
        <f aca="false">IF(ISNUMBER(D16),C16/D16,"")</f>
        <v/>
      </c>
      <c r="F16" s="25" t="str">
        <f aca="false">IF(AND($A16+(-24)&gt;=1,$A16+(-24)&lt;=$B$8),INDEX($E$12:$E$71,$A16+(-24)),"")</f>
        <v/>
      </c>
      <c r="G16" s="25" t="str">
        <f aca="false">IF(AND($A16+(-12)&gt;=1,$A16+(-12)&lt;=$B$8),INDEX($E$12:$E$71,$A16+(-12)),"")</f>
        <v/>
      </c>
      <c r="H16" s="25" t="str">
        <f aca="false">IF(AND($A16+(0)&gt;=1,$A16+(0)&lt;=$B$8),INDEX($E$12:$E$71,$A16+(0)),"")</f>
        <v/>
      </c>
      <c r="I16" s="25" t="n">
        <f aca="false">IF(AND($A16+(12)&gt;=1,$A16+(12)&lt;=$B$8),INDEX($E$12:$E$71,$A16+(12)),"")</f>
        <v>0.854489164086687</v>
      </c>
      <c r="J16" s="25" t="n">
        <f aca="false">IF(AND($A16+(24)&gt;=1,$A16+(24)&lt;=$B$8),INDEX($E$12:$E$71,$A16+(24)),"")</f>
        <v>0.942019543973941</v>
      </c>
      <c r="K16" s="25" t="n">
        <f aca="false">IF(SUMPRODUCT(Bobot_Filter!$B$38:$F$38,ISNUMBER(F16:J16)*1)&gt;0,SUMPRODUCT(Bobot_Filter!$B$38:$F$38,F16:J16)/SUMPRODUCT(Bobot_Filter!$B$38:$F$38,ISNUMBER(F16:J16)*1),"")</f>
        <v>0.883665957382439</v>
      </c>
      <c r="L16" s="25" t="str">
        <f aca="false">IF(AND($A16&gt;=$B$6,$A16&lt;=$B$7),SUMPRODUCT(Bobot_Filter!$B$4:$B$16,K10:K22),"")</f>
        <v/>
      </c>
      <c r="M16" s="25" t="n">
        <f aca="false">K16/INDEX($L$12:$L$71,MAX($B$6,MIN($A16,$B$7)))</f>
        <v>0.88707271905953</v>
      </c>
      <c r="N16" s="27" t="n">
        <f aca="false">C16/M16</f>
        <v>249.134028419117</v>
      </c>
      <c r="O16" s="27" t="str">
        <f aca="false">IF(AND($A16&gt;=$B$6,$A16&lt;=$B$7),SUMPRODUCT(Bobot_Filter!$B$20:$B$32,N10:N22),"")</f>
        <v/>
      </c>
      <c r="P16" s="25" t="str">
        <f aca="false">IF(ISNUMBER(O16),C16/O16,"")</f>
        <v/>
      </c>
      <c r="Q16" s="25" t="str">
        <f aca="false">IF(AND($A16+(-36)&gt;=1,$A16+(-36)&lt;=$B$8),INDEX($P$12:$P$71,$A16+(-36)),"")</f>
        <v/>
      </c>
      <c r="R16" s="25" t="str">
        <f aca="false">IF(AND($A16+(-24)&gt;=1,$A16+(-24)&lt;=$B$8),INDEX($P$12:$P$71,$A16+(-24)),"")</f>
        <v/>
      </c>
      <c r="S16" s="25" t="str">
        <f aca="false">IF(AND($A16+(-12)&gt;=1,$A16+(-12)&lt;=$B$8),INDEX($P$12:$P$71,$A16+(-12)),"")</f>
        <v/>
      </c>
      <c r="T16" s="25" t="str">
        <f aca="false">IF(AND($A16+(0)&gt;=1,$A16+(0)&lt;=$B$8),INDEX($P$12:$P$71,$A16+(0)),"")</f>
        <v/>
      </c>
      <c r="U16" s="25" t="n">
        <f aca="false">IF(AND($A16+(12)&gt;=1,$A16+(12)&lt;=$B$8),INDEX($P$12:$P$71,$A16+(12)),"")</f>
        <v>0.871651339333878</v>
      </c>
      <c r="V16" s="25" t="n">
        <f aca="false">IF(AND($A16+(24)&gt;=1,$A16+(24)&lt;=$B$8),INDEX($P$12:$P$71,$A16+(24)),"")</f>
        <v>0.933110248488267</v>
      </c>
      <c r="W16" s="25" t="n">
        <f aca="false">IF(AND($A16+(36)&gt;=1,$A16+(36)&lt;=$B$8),INDEX($P$12:$P$71,$A16+(36)),"")</f>
        <v>0.900649466231489</v>
      </c>
      <c r="X16" s="25" t="n">
        <f aca="false">IF(SUMPRODUCT(Bobot_Filter!$B$43:$H$43,ISNUMBER(Q16:W16)*1)&gt;0,SUMPRODUCT(Bobot_Filter!$B$43:$H$43,Q16:W16)/SUMPRODUCT(Bobot_Filter!$B$43:$H$43,ISNUMBER(Q16:W16)*1),"")</f>
        <v>0.896970663534943</v>
      </c>
      <c r="Y16" s="25" t="str">
        <f aca="false">IF(AND($A16&gt;=$B$6,$A16&lt;=$B$7),SUMPRODUCT(Bobot_Filter!$B$4:$B$16,X10:X22),"")</f>
        <v/>
      </c>
      <c r="Z16" s="33" t="n">
        <f aca="false">X16/INDEX($Y$12:$Y$71,MAX($B$6,MIN($A16,$B$7)))</f>
        <v>0.897751153724125</v>
      </c>
      <c r="AA16" s="27" t="n">
        <f aca="false">C16/Z16</f>
        <v>246.170666652145</v>
      </c>
      <c r="AB16" s="27" t="str">
        <f aca="false">IF(AND($A16&gt;=$B$6,$A16&lt;=$B$7),SUMPRODUCT(Bobot_Filter!$B$20:$B$32,AA10:AA22),"")</f>
        <v/>
      </c>
      <c r="AC16" s="25" t="str">
        <f aca="false">IF(ISNUMBER(AB16),AA16/AB16,"")</f>
        <v/>
      </c>
      <c r="AD16" s="27" t="n">
        <f aca="false">$B$4+$B$3*A16</f>
        <v>225.642791426897</v>
      </c>
      <c r="AE16" s="27" t="n">
        <f aca="false">AD16*Z16</f>
        <v>202.571076333029</v>
      </c>
    </row>
    <row r="17" customFormat="false" ht="15" hidden="false" customHeight="false" outlineLevel="0" collapsed="false">
      <c r="A17" s="8" t="n">
        <v>6</v>
      </c>
      <c r="B17" s="22" t="n">
        <f aca="false">Data!B10</f>
        <v>44501</v>
      </c>
      <c r="C17" s="23" t="n">
        <f aca="false">Data!E10</f>
        <v>225</v>
      </c>
      <c r="D17" s="27" t="str">
        <f aca="false">IF(AND($A17&gt;=$B$6,$A17&lt;=$B$7),SUMPRODUCT(Bobot_Filter!$B$4:$B$16,C11:C23),"")</f>
        <v/>
      </c>
      <c r="E17" s="25" t="str">
        <f aca="false">IF(ISNUMBER(D17),C17/D17,"")</f>
        <v/>
      </c>
      <c r="F17" s="25" t="str">
        <f aca="false">IF(AND($A17+(-24)&gt;=1,$A17+(-24)&lt;=$B$8),INDEX($E$12:$E$71,$A17+(-24)),"")</f>
        <v/>
      </c>
      <c r="G17" s="25" t="str">
        <f aca="false">IF(AND($A17+(-12)&gt;=1,$A17+(-12)&lt;=$B$8),INDEX($E$12:$E$71,$A17+(-12)),"")</f>
        <v/>
      </c>
      <c r="H17" s="25" t="str">
        <f aca="false">IF(AND($A17+(0)&gt;=1,$A17+(0)&lt;=$B$8),INDEX($E$12:$E$71,$A17+(0)),"")</f>
        <v/>
      </c>
      <c r="I17" s="25" t="n">
        <f aca="false">IF(AND($A17+(12)&gt;=1,$A17+(12)&lt;=$B$8),INDEX($E$12:$E$71,$A17+(12)),"")</f>
        <v>0.939883201648918</v>
      </c>
      <c r="J17" s="25" t="n">
        <f aca="false">IF(AND($A17+(24)&gt;=1,$A17+(24)&lt;=$B$8),INDEX($E$12:$E$71,$A17+(24)),"")</f>
        <v>0.923679060665362</v>
      </c>
      <c r="K17" s="25" t="n">
        <f aca="false">IF(SUMPRODUCT(Bobot_Filter!$B$38:$F$38,ISNUMBER(F17:J17)*1)&gt;0,SUMPRODUCT(Bobot_Filter!$B$38:$F$38,F17:J17)/SUMPRODUCT(Bobot_Filter!$B$38:$F$38,ISNUMBER(F17:J17)*1),"")</f>
        <v>0.934481821321066</v>
      </c>
      <c r="L17" s="25" t="str">
        <f aca="false">IF(AND($A17&gt;=$B$6,$A17&lt;=$B$7),SUMPRODUCT(Bobot_Filter!$B$4:$B$16,K11:K23),"")</f>
        <v/>
      </c>
      <c r="M17" s="25" t="n">
        <f aca="false">K17/INDEX($L$12:$L$71,MAX($B$6,MIN($A17,$B$7)))</f>
        <v>0.938084491346111</v>
      </c>
      <c r="N17" s="27" t="n">
        <f aca="false">C17/M17</f>
        <v>239.850463445073</v>
      </c>
      <c r="O17" s="27" t="str">
        <f aca="false">IF(AND($A17&gt;=$B$6,$A17&lt;=$B$7),SUMPRODUCT(Bobot_Filter!$B$20:$B$32,N11:N23),"")</f>
        <v/>
      </c>
      <c r="P17" s="25" t="str">
        <f aca="false">IF(ISNUMBER(O17),C17/O17,"")</f>
        <v/>
      </c>
      <c r="Q17" s="25" t="str">
        <f aca="false">IF(AND($A17+(-36)&gt;=1,$A17+(-36)&lt;=$B$8),INDEX($P$12:$P$71,$A17+(-36)),"")</f>
        <v/>
      </c>
      <c r="R17" s="25" t="str">
        <f aca="false">IF(AND($A17+(-24)&gt;=1,$A17+(-24)&lt;=$B$8),INDEX($P$12:$P$71,$A17+(-24)),"")</f>
        <v/>
      </c>
      <c r="S17" s="25" t="str">
        <f aca="false">IF(AND($A17+(-12)&gt;=1,$A17+(-12)&lt;=$B$8),INDEX($P$12:$P$71,$A17+(-12)),"")</f>
        <v/>
      </c>
      <c r="T17" s="25" t="str">
        <f aca="false">IF(AND($A17+(0)&gt;=1,$A17+(0)&lt;=$B$8),INDEX($P$12:$P$71,$A17+(0)),"")</f>
        <v/>
      </c>
      <c r="U17" s="25" t="n">
        <f aca="false">IF(AND($A17+(12)&gt;=1,$A17+(12)&lt;=$B$8),INDEX($P$12:$P$71,$A17+(12)),"")</f>
        <v>0.952330223037439</v>
      </c>
      <c r="V17" s="25" t="n">
        <f aca="false">IF(AND($A17+(24)&gt;=1,$A17+(24)&lt;=$B$8),INDEX($P$12:$P$71,$A17+(24)),"")</f>
        <v>0.914751655529918</v>
      </c>
      <c r="W17" s="25" t="n">
        <f aca="false">IF(AND($A17+(36)&gt;=1,$A17+(36)&lt;=$B$8),INDEX($P$12:$P$71,$A17+(36)),"")</f>
        <v>0.938042368636044</v>
      </c>
      <c r="X17" s="25" t="n">
        <f aca="false">IF(SUMPRODUCT(Bobot_Filter!$B$43:$H$43,ISNUMBER(Q17:W17)*1)&gt;0,SUMPRODUCT(Bobot_Filter!$B$43:$H$43,Q17:W17)/SUMPRODUCT(Bobot_Filter!$B$43:$H$43,ISNUMBER(Q17:W17)*1),"")</f>
        <v>0.937422724801366</v>
      </c>
      <c r="Y17" s="25" t="str">
        <f aca="false">IF(AND($A17&gt;=$B$6,$A17&lt;=$B$7),SUMPRODUCT(Bobot_Filter!$B$4:$B$16,X11:X23),"")</f>
        <v/>
      </c>
      <c r="Z17" s="33" t="n">
        <f aca="false">X17/INDEX($Y$12:$Y$71,MAX($B$6,MIN($A17,$B$7)))</f>
        <v>0.938238413953273</v>
      </c>
      <c r="AA17" s="27" t="n">
        <f aca="false">C17/Z17</f>
        <v>239.811114801793</v>
      </c>
      <c r="AB17" s="27" t="str">
        <f aca="false">IF(AND($A17&gt;=$B$6,$A17&lt;=$B$7),SUMPRODUCT(Bobot_Filter!$B$20:$B$32,AA11:AA23),"")</f>
        <v/>
      </c>
      <c r="AC17" s="25" t="str">
        <f aca="false">IF(ISNUMBER(AB17),AA17/AB17,"")</f>
        <v/>
      </c>
      <c r="AD17" s="27" t="n">
        <f aca="false">$B$4+$B$3*A17</f>
        <v>226.715589678796</v>
      </c>
      <c r="AE17" s="27" t="n">
        <f aca="false">AD17*Z17</f>
        <v>212.713275278715</v>
      </c>
    </row>
    <row r="18" customFormat="false" ht="15" hidden="false" customHeight="false" outlineLevel="0" collapsed="false">
      <c r="A18" s="8" t="n">
        <v>7</v>
      </c>
      <c r="B18" s="22" t="n">
        <f aca="false">Data!B11</f>
        <v>44531</v>
      </c>
      <c r="C18" s="23" t="n">
        <f aca="false">Data!E11</f>
        <v>278</v>
      </c>
      <c r="D18" s="27" t="n">
        <f aca="false">IF(AND($A18&gt;=$B$6,$A18&lt;=$B$7),SUMPRODUCT(Bobot_Filter!$B$4:$B$16,C12:C24),"")</f>
        <v>232.791666666667</v>
      </c>
      <c r="E18" s="25" t="n">
        <f aca="false">IF(ISNUMBER(D18),C18/D18,"")</f>
        <v>1.1942008233399</v>
      </c>
      <c r="F18" s="25" t="str">
        <f aca="false">IF(AND($A18+(-24)&gt;=1,$A18+(-24)&lt;=$B$8),INDEX($E$12:$E$71,$A18+(-24)),"")</f>
        <v/>
      </c>
      <c r="G18" s="25" t="str">
        <f aca="false">IF(AND($A18+(-12)&gt;=1,$A18+(-12)&lt;=$B$8),INDEX($E$12:$E$71,$A18+(-12)),"")</f>
        <v/>
      </c>
      <c r="H18" s="25" t="n">
        <f aca="false">IF(AND($A18+(0)&gt;=1,$A18+(0)&lt;=$B$8),INDEX($E$12:$E$71,$A18+(0)),"")</f>
        <v>1.1942008233399</v>
      </c>
      <c r="I18" s="25" t="n">
        <f aca="false">IF(AND($A18+(12)&gt;=1,$A18+(12)&lt;=$B$8),INDEX($E$12:$E$71,$A18+(12)),"")</f>
        <v>1.16348633316142</v>
      </c>
      <c r="J18" s="25" t="n">
        <f aca="false">IF(AND($A18+(24)&gt;=1,$A18+(24)&lt;=$B$8),INDEX($E$12:$E$71,$A18+(24)),"")</f>
        <v>1.12536633018561</v>
      </c>
      <c r="K18" s="25" t="n">
        <f aca="false">IF(SUMPRODUCT(Bobot_Filter!$B$38:$F$38,ISNUMBER(F18:J18)*1)&gt;0,SUMPRODUCT(Bobot_Filter!$B$38:$F$38,F18:J18)/SUMPRODUCT(Bobot_Filter!$B$38:$F$38,ISNUMBER(F18:J18)*1),"")</f>
        <v>1.17249024442136</v>
      </c>
      <c r="L18" s="25" t="n">
        <f aca="false">IF(AND($A18&gt;=$B$6,$A18&lt;=$B$7),SUMPRODUCT(Bobot_Filter!$B$4:$B$16,K12:K24),"")</f>
        <v>0.996159546332681</v>
      </c>
      <c r="M18" s="25" t="n">
        <f aca="false">K18/INDEX($L$12:$L$71,MAX($B$6,MIN($A18,$B$7)))</f>
        <v>1.17701049870759</v>
      </c>
      <c r="N18" s="27" t="n">
        <f aca="false">C18/M18</f>
        <v>236.191606026672</v>
      </c>
      <c r="O18" s="27" t="n">
        <f aca="false">IF(AND($A18&gt;=$B$6,$A18&lt;=$B$7),SUMPRODUCT(Bobot_Filter!$B$20:$B$32,N12:N24),"")</f>
        <v>231.951183841596</v>
      </c>
      <c r="P18" s="25" t="n">
        <f aca="false">IF(ISNUMBER(O18),C18/O18,"")</f>
        <v>1.19852804972037</v>
      </c>
      <c r="Q18" s="25" t="str">
        <f aca="false">IF(AND($A18+(-36)&gt;=1,$A18+(-36)&lt;=$B$8),INDEX($P$12:$P$71,$A18+(-36)),"")</f>
        <v/>
      </c>
      <c r="R18" s="25" t="str">
        <f aca="false">IF(AND($A18+(-24)&gt;=1,$A18+(-24)&lt;=$B$8),INDEX($P$12:$P$71,$A18+(-24)),"")</f>
        <v/>
      </c>
      <c r="S18" s="25" t="str">
        <f aca="false">IF(AND($A18+(-12)&gt;=1,$A18+(-12)&lt;=$B$8),INDEX($P$12:$P$71,$A18+(-12)),"")</f>
        <v/>
      </c>
      <c r="T18" s="25" t="n">
        <f aca="false">IF(AND($A18+(0)&gt;=1,$A18+(0)&lt;=$B$8),INDEX($P$12:$P$71,$A18+(0)),"")</f>
        <v>1.19852804972037</v>
      </c>
      <c r="U18" s="25" t="n">
        <f aca="false">IF(AND($A18+(12)&gt;=1,$A18+(12)&lt;=$B$8),INDEX($P$12:$P$71,$A18+(12)),"")</f>
        <v>1.16547008619818</v>
      </c>
      <c r="V18" s="25" t="n">
        <f aca="false">IF(AND($A18+(24)&gt;=1,$A18+(24)&lt;=$B$8),INDEX($P$12:$P$71,$A18+(24)),"")</f>
        <v>1.12064344496924</v>
      </c>
      <c r="W18" s="25" t="n">
        <f aca="false">IF(AND($A18+(36)&gt;=1,$A18+(36)&lt;=$B$8),INDEX($P$12:$P$71,$A18+(36)),"")</f>
        <v>1.1623545541647</v>
      </c>
      <c r="X18" s="25" t="n">
        <f aca="false">IF(SUMPRODUCT(Bobot_Filter!$B$43:$H$43,ISNUMBER(Q18:W18)*1)&gt;0,SUMPRODUCT(Bobot_Filter!$B$43:$H$43,Q18:W18)/SUMPRODUCT(Bobot_Filter!$B$43:$H$43,ISNUMBER(Q18:W18)*1),"")</f>
        <v>1.16618176131765</v>
      </c>
      <c r="Y18" s="25" t="n">
        <f aca="false">IF(AND($A18&gt;=$B$6,$A18&lt;=$B$7),SUMPRODUCT(Bobot_Filter!$B$4:$B$16,X12:X24),"")</f>
        <v>0.999130616333998</v>
      </c>
      <c r="Z18" s="33" t="n">
        <f aca="false">X18/INDEX($Y$12:$Y$71,MAX($B$6,MIN($A18,$B$7)))</f>
        <v>1.16719650289228</v>
      </c>
      <c r="AA18" s="27" t="n">
        <f aca="false">C18/Z18</f>
        <v>238.177547063519</v>
      </c>
      <c r="AB18" s="27" t="n">
        <f aca="false">IF(AND($A18&gt;=$B$6,$A18&lt;=$B$7),SUMPRODUCT(Bobot_Filter!$B$20:$B$32,AA12:AA24),"")</f>
        <v>229.021049248228</v>
      </c>
      <c r="AC18" s="25" t="n">
        <f aca="false">IF(ISNUMBER(AB18),AA18/AB18,"")</f>
        <v>1.03998103163594</v>
      </c>
      <c r="AD18" s="27" t="n">
        <f aca="false">$B$4+$B$3*A18</f>
        <v>227.788387930696</v>
      </c>
      <c r="AE18" s="27" t="n">
        <f aca="false">AD18*Z18</f>
        <v>265.873809792178</v>
      </c>
    </row>
    <row r="19" customFormat="false" ht="15" hidden="false" customHeight="false" outlineLevel="0" collapsed="false">
      <c r="A19" s="8" t="n">
        <v>8</v>
      </c>
      <c r="B19" s="22" t="n">
        <f aca="false">Data!B12</f>
        <v>44562</v>
      </c>
      <c r="C19" s="23" t="n">
        <f aca="false">Data!E12</f>
        <v>245</v>
      </c>
      <c r="D19" s="27" t="n">
        <f aca="false">IF(AND($A19&gt;=$B$6,$A19&lt;=$B$7),SUMPRODUCT(Bobot_Filter!$B$4:$B$16,C13:C25),"")</f>
        <v>233.375</v>
      </c>
      <c r="E19" s="25" t="n">
        <f aca="false">IF(ISNUMBER(D19),C19/D19,"")</f>
        <v>1.04981253347617</v>
      </c>
      <c r="F19" s="25" t="str">
        <f aca="false">IF(AND($A19+(-24)&gt;=1,$A19+(-24)&lt;=$B$8),INDEX($E$12:$E$71,$A19+(-24)),"")</f>
        <v/>
      </c>
      <c r="G19" s="25" t="str">
        <f aca="false">IF(AND($A19+(-12)&gt;=1,$A19+(-12)&lt;=$B$8),INDEX($E$12:$E$71,$A19+(-12)),"")</f>
        <v/>
      </c>
      <c r="H19" s="25" t="n">
        <f aca="false">IF(AND($A19+(0)&gt;=1,$A19+(0)&lt;=$B$8),INDEX($E$12:$E$71,$A19+(0)),"")</f>
        <v>1.04981253347617</v>
      </c>
      <c r="I19" s="25" t="n">
        <f aca="false">IF(AND($A19+(12)&gt;=1,$A19+(12)&lt;=$B$8),INDEX($E$12:$E$71,$A19+(12)),"")</f>
        <v>1.07205202806777</v>
      </c>
      <c r="J19" s="25" t="n">
        <f aca="false">IF(AND($A19+(24)&gt;=1,$A19+(24)&lt;=$B$8),INDEX($E$12:$E$71,$A19+(24)),"")</f>
        <v>1.08379523964786</v>
      </c>
      <c r="K19" s="25" t="n">
        <f aca="false">IF(SUMPRODUCT(Bobot_Filter!$B$38:$F$38,ISNUMBER(F19:J19)*1)&gt;0,SUMPRODUCT(Bobot_Filter!$B$38:$F$38,F19:J19)/SUMPRODUCT(Bobot_Filter!$B$38:$F$38,ISNUMBER(F19:J19)*1),"")</f>
        <v>1.06288948270198</v>
      </c>
      <c r="L19" s="25" t="n">
        <f aca="false">IF(AND($A19&gt;=$B$6,$A19&lt;=$B$7),SUMPRODUCT(Bobot_Filter!$B$4:$B$16,K13:K25),"")</f>
        <v>0.995515976192067</v>
      </c>
      <c r="M19" s="25" t="n">
        <f aca="false">K19/INDEX($L$12:$L$71,MAX($B$6,MIN($A19,$B$7)))</f>
        <v>1.0676769716621</v>
      </c>
      <c r="N19" s="27" t="n">
        <f aca="false">C19/M19</f>
        <v>229.470154834002</v>
      </c>
      <c r="O19" s="27" t="n">
        <f aca="false">IF(AND($A19&gt;=$B$6,$A19&lt;=$B$7),SUMPRODUCT(Bobot_Filter!$B$20:$B$32,N13:N25),"")</f>
        <v>227.684856775078</v>
      </c>
      <c r="P19" s="25" t="n">
        <f aca="false">IF(ISNUMBER(O19),C19/O19,"")</f>
        <v>1.07604872572631</v>
      </c>
      <c r="Q19" s="25" t="str">
        <f aca="false">IF(AND($A19+(-36)&gt;=1,$A19+(-36)&lt;=$B$8),INDEX($P$12:$P$71,$A19+(-36)),"")</f>
        <v/>
      </c>
      <c r="R19" s="25" t="str">
        <f aca="false">IF(AND($A19+(-24)&gt;=1,$A19+(-24)&lt;=$B$8),INDEX($P$12:$P$71,$A19+(-24)),"")</f>
        <v/>
      </c>
      <c r="S19" s="25" t="str">
        <f aca="false">IF(AND($A19+(-12)&gt;=1,$A19+(-12)&lt;=$B$8),INDEX($P$12:$P$71,$A19+(-12)),"")</f>
        <v/>
      </c>
      <c r="T19" s="25" t="n">
        <f aca="false">IF(AND($A19+(0)&gt;=1,$A19+(0)&lt;=$B$8),INDEX($P$12:$P$71,$A19+(0)),"")</f>
        <v>1.07604872572631</v>
      </c>
      <c r="U19" s="25" t="n">
        <f aca="false">IF(AND($A19+(12)&gt;=1,$A19+(12)&lt;=$B$8),INDEX($P$12:$P$71,$A19+(12)),"")</f>
        <v>1.06855250092592</v>
      </c>
      <c r="V19" s="25" t="n">
        <f aca="false">IF(AND($A19+(24)&gt;=1,$A19+(24)&lt;=$B$8),INDEX($P$12:$P$71,$A19+(24)),"")</f>
        <v>1.08111664274067</v>
      </c>
      <c r="W19" s="25" t="n">
        <f aca="false">IF(AND($A19+(36)&gt;=1,$A19+(36)&lt;=$B$8),INDEX($P$12:$P$71,$A19+(36)),"")</f>
        <v>1.06575287160982</v>
      </c>
      <c r="X19" s="25" t="n">
        <f aca="false">IF(SUMPRODUCT(Bobot_Filter!$B$43:$H$43,ISNUMBER(Q19:W19)*1)&gt;0,SUMPRODUCT(Bobot_Filter!$B$43:$H$43,Q19:W19)/SUMPRODUCT(Bobot_Filter!$B$43:$H$43,ISNUMBER(Q19:W19)*1),"")</f>
        <v>1.07353220411643</v>
      </c>
      <c r="Y19" s="25" t="n">
        <f aca="false">IF(AND($A19&gt;=$B$6,$A19&lt;=$B$7),SUMPRODUCT(Bobot_Filter!$B$4:$B$16,X13:X25),"")</f>
        <v>0.998589571104883</v>
      </c>
      <c r="Z19" s="33" t="n">
        <f aca="false">X19/INDEX($Y$12:$Y$71,MAX($B$6,MIN($A19,$B$7)))</f>
        <v>1.0750484835613</v>
      </c>
      <c r="AA19" s="27" t="n">
        <f aca="false">C19/Z19</f>
        <v>227.896698378098</v>
      </c>
      <c r="AB19" s="27" t="n">
        <f aca="false">IF(AND($A19&gt;=$B$6,$A19&lt;=$B$7),SUMPRODUCT(Bobot_Filter!$B$20:$B$32,AA13:AA25),"")</f>
        <v>224.139423214493</v>
      </c>
      <c r="AC19" s="25" t="n">
        <f aca="false">IF(ISNUMBER(AB19),AA19/AB19,"")</f>
        <v>1.01676311605393</v>
      </c>
      <c r="AD19" s="27" t="n">
        <f aca="false">$B$4+$B$3*A19</f>
        <v>228.861186182595</v>
      </c>
      <c r="AE19" s="27" t="n">
        <f aca="false">AD19*Z19</f>
        <v>246.036871151638</v>
      </c>
    </row>
    <row r="20" customFormat="false" ht="15" hidden="false" customHeight="false" outlineLevel="0" collapsed="false">
      <c r="A20" s="8" t="n">
        <v>9</v>
      </c>
      <c r="B20" s="22" t="n">
        <f aca="false">Data!B13</f>
        <v>44593</v>
      </c>
      <c r="C20" s="23" t="n">
        <f aca="false">Data!E13</f>
        <v>179</v>
      </c>
      <c r="D20" s="27" t="n">
        <f aca="false">IF(AND($A20&gt;=$B$6,$A20&lt;=$B$7),SUMPRODUCT(Bobot_Filter!$B$4:$B$16,C14:C26),"")</f>
        <v>233.708333333333</v>
      </c>
      <c r="E20" s="25" t="n">
        <f aca="false">IF(ISNUMBER(D20),C20/D20,"")</f>
        <v>0.765911927259761</v>
      </c>
      <c r="F20" s="25" t="str">
        <f aca="false">IF(AND($A20+(-24)&gt;=1,$A20+(-24)&lt;=$B$8),INDEX($E$12:$E$71,$A20+(-24)),"")</f>
        <v/>
      </c>
      <c r="G20" s="25" t="str">
        <f aca="false">IF(AND($A20+(-12)&gt;=1,$A20+(-12)&lt;=$B$8),INDEX($E$12:$E$71,$A20+(-12)),"")</f>
        <v/>
      </c>
      <c r="H20" s="25" t="n">
        <f aca="false">IF(AND($A20+(0)&gt;=1,$A20+(0)&lt;=$B$8),INDEX($E$12:$E$71,$A20+(0)),"")</f>
        <v>0.765911927259761</v>
      </c>
      <c r="I20" s="25" t="n">
        <f aca="false">IF(AND($A20+(12)&gt;=1,$A20+(12)&lt;=$B$8),INDEX($E$12:$E$71,$A20+(12)),"")</f>
        <v>0.932674279870462</v>
      </c>
      <c r="J20" s="25" t="n">
        <f aca="false">IF(AND($A20+(24)&gt;=1,$A20+(24)&lt;=$B$8),INDEX($E$12:$E$71,$A20+(24)),"")</f>
        <v>0.971755102040816</v>
      </c>
      <c r="K20" s="25" t="n">
        <f aca="false">IF(SUMPRODUCT(Bobot_Filter!$B$38:$F$38,ISNUMBER(F20:J20)*1)&gt;0,SUMPRODUCT(Bobot_Filter!$B$38:$F$38,F20:J20)/SUMPRODUCT(Bobot_Filter!$B$38:$F$38,ISNUMBER(F20:J20)*1),"")</f>
        <v>0.855806573926837</v>
      </c>
      <c r="L20" s="25" t="n">
        <f aca="false">IF(AND($A20&gt;=$B$6,$A20&lt;=$B$7),SUMPRODUCT(Bobot_Filter!$B$4:$B$16,K14:K26),"")</f>
        <v>0.99488168633111</v>
      </c>
      <c r="M20" s="25" t="n">
        <f aca="false">K20/INDEX($L$12:$L$71,MAX($B$6,MIN($A20,$B$7)))</f>
        <v>0.860209395433593</v>
      </c>
      <c r="N20" s="27" t="n">
        <f aca="false">C20/M20</f>
        <v>208.088868768719</v>
      </c>
      <c r="O20" s="27" t="n">
        <f aca="false">IF(AND($A20&gt;=$B$6,$A20&lt;=$B$7),SUMPRODUCT(Bobot_Filter!$B$20:$B$32,N14:N26),"")</f>
        <v>225.386344889464</v>
      </c>
      <c r="P20" s="25" t="n">
        <f aca="false">IF(ISNUMBER(O20),C20/O20,"")</f>
        <v>0.794191857930822</v>
      </c>
      <c r="Q20" s="25" t="str">
        <f aca="false">IF(AND($A20+(-36)&gt;=1,$A20+(-36)&lt;=$B$8),INDEX($P$12:$P$71,$A20+(-36)),"")</f>
        <v/>
      </c>
      <c r="R20" s="25" t="str">
        <f aca="false">IF(AND($A20+(-24)&gt;=1,$A20+(-24)&lt;=$B$8),INDEX($P$12:$P$71,$A20+(-24)),"")</f>
        <v/>
      </c>
      <c r="S20" s="25" t="str">
        <f aca="false">IF(AND($A20+(-12)&gt;=1,$A20+(-12)&lt;=$B$8),INDEX($P$12:$P$71,$A20+(-12)),"")</f>
        <v/>
      </c>
      <c r="T20" s="25" t="n">
        <f aca="false">IF(AND($A20+(0)&gt;=1,$A20+(0)&lt;=$B$8),INDEX($P$12:$P$71,$A20+(0)),"")</f>
        <v>0.794191857930822</v>
      </c>
      <c r="U20" s="25" t="n">
        <f aca="false">IF(AND($A20+(12)&gt;=1,$A20+(12)&lt;=$B$8),INDEX($P$12:$P$71,$A20+(12)),"")</f>
        <v>0.926226039020493</v>
      </c>
      <c r="V20" s="25" t="n">
        <f aca="false">IF(AND($A20+(24)&gt;=1,$A20+(24)&lt;=$B$8),INDEX($P$12:$P$71,$A20+(24)),"")</f>
        <v>0.969582287147829</v>
      </c>
      <c r="W20" s="25" t="n">
        <f aca="false">IF(AND($A20+(36)&gt;=1,$A20+(36)&lt;=$B$8),INDEX($P$12:$P$71,$A20+(36)),"")</f>
        <v>0.967955784643531</v>
      </c>
      <c r="X20" s="25" t="n">
        <f aca="false">IF(SUMPRODUCT(Bobot_Filter!$B$43:$H$43,ISNUMBER(Q20:W20)*1)&gt;0,SUMPRODUCT(Bobot_Filter!$B$43:$H$43,Q20:W20)/SUMPRODUCT(Bobot_Filter!$B$43:$H$43,ISNUMBER(Q20:W20)*1),"")</f>
        <v>0.89648600553257</v>
      </c>
      <c r="Y20" s="25" t="n">
        <f aca="false">IF(AND($A20&gt;=$B$6,$A20&lt;=$B$7),SUMPRODUCT(Bobot_Filter!$B$4:$B$16,X14:X26),"")</f>
        <v>0.998149741447284</v>
      </c>
      <c r="Z20" s="33" t="n">
        <f aca="false">X20/INDEX($Y$12:$Y$71,MAX($B$6,MIN($A20,$B$7)))</f>
        <v>0.89814781120185</v>
      </c>
      <c r="AA20" s="27" t="n">
        <f aca="false">C20/Z20</f>
        <v>199.299043840537</v>
      </c>
      <c r="AB20" s="27" t="n">
        <f aca="false">IF(AND($A20&gt;=$B$6,$A20&lt;=$B$7),SUMPRODUCT(Bobot_Filter!$B$20:$B$32,AA14:AA26),"")</f>
        <v>222.181633756386</v>
      </c>
      <c r="AC20" s="25" t="n">
        <f aca="false">IF(ISNUMBER(AB20),AA20/AB20,"")</f>
        <v>0.897009534366201</v>
      </c>
      <c r="AD20" s="27" t="n">
        <f aca="false">$B$4+$B$3*A20</f>
        <v>229.933984434494</v>
      </c>
      <c r="AE20" s="27" t="n">
        <f aca="false">AD20*Z20</f>
        <v>206.514704840761</v>
      </c>
    </row>
    <row r="21" customFormat="false" ht="15" hidden="false" customHeight="false" outlineLevel="0" collapsed="false">
      <c r="A21" s="8" t="n">
        <v>10</v>
      </c>
      <c r="B21" s="22" t="n">
        <f aca="false">Data!B14</f>
        <v>44621</v>
      </c>
      <c r="C21" s="23" t="n">
        <f aca="false">Data!E14</f>
        <v>223</v>
      </c>
      <c r="D21" s="27" t="n">
        <f aca="false">IF(AND($A21&gt;=$B$6,$A21&lt;=$B$7),SUMPRODUCT(Bobot_Filter!$B$4:$B$16,C15:C27),"")</f>
        <v>233.833333333333</v>
      </c>
      <c r="E21" s="25" t="n">
        <f aca="false">IF(ISNUMBER(D21),C21/D21,"")</f>
        <v>0.953670705630791</v>
      </c>
      <c r="F21" s="25" t="str">
        <f aca="false">IF(AND($A21+(-24)&gt;=1,$A21+(-24)&lt;=$B$8),INDEX($E$12:$E$71,$A21+(-24)),"")</f>
        <v/>
      </c>
      <c r="G21" s="25" t="str">
        <f aca="false">IF(AND($A21+(-12)&gt;=1,$A21+(-12)&lt;=$B$8),INDEX($E$12:$E$71,$A21+(-12)),"")</f>
        <v/>
      </c>
      <c r="H21" s="25" t="n">
        <f aca="false">IF(AND($A21+(0)&gt;=1,$A21+(0)&lt;=$B$8),INDEX($E$12:$E$71,$A21+(0)),"")</f>
        <v>0.953670705630791</v>
      </c>
      <c r="I21" s="25" t="n">
        <f aca="false">IF(AND($A21+(12)&gt;=1,$A21+(12)&lt;=$B$8),INDEX($E$12:$E$71,$A21+(12)),"")</f>
        <v>1.04029800203183</v>
      </c>
      <c r="J21" s="25" t="n">
        <f aca="false">IF(AND($A21+(24)&gt;=1,$A21+(24)&lt;=$B$8),INDEX($E$12:$E$71,$A21+(24)),"")</f>
        <v>1.09929658105676</v>
      </c>
      <c r="K21" s="25" t="n">
        <f aca="false">IF(SUMPRODUCT(Bobot_Filter!$B$38:$F$38,ISNUMBER(F21:J21)*1)&gt;0,SUMPRODUCT(Bobot_Filter!$B$38:$F$38,F21:J21)/SUMPRODUCT(Bobot_Filter!$B$38:$F$38,ISNUMBER(F21:J21)*1),"")</f>
        <v>1.00681745033547</v>
      </c>
      <c r="L21" s="25" t="n">
        <f aca="false">IF(AND($A21&gt;=$B$6,$A21&lt;=$B$7),SUMPRODUCT(Bobot_Filter!$B$4:$B$16,K15:K27),"")</f>
        <v>0.994753164518711</v>
      </c>
      <c r="M21" s="25" t="n">
        <f aca="false">K21/INDEX($L$12:$L$71,MAX($B$6,MIN($A21,$B$7)))</f>
        <v>1.01212791901255</v>
      </c>
      <c r="N21" s="27" t="n">
        <f aca="false">C21/M21</f>
        <v>220.327881299395</v>
      </c>
      <c r="O21" s="27" t="n">
        <f aca="false">IF(AND($A21&gt;=$B$6,$A21&lt;=$B$7),SUMPRODUCT(Bobot_Filter!$B$20:$B$32,N15:N27),"")</f>
        <v>226.278321167703</v>
      </c>
      <c r="P21" s="25" t="n">
        <f aca="false">IF(ISNUMBER(O21),C21/O21,"")</f>
        <v>0.985511996240801</v>
      </c>
      <c r="Q21" s="25" t="str">
        <f aca="false">IF(AND($A21+(-36)&gt;=1,$A21+(-36)&lt;=$B$8),INDEX($P$12:$P$71,$A21+(-36)),"")</f>
        <v/>
      </c>
      <c r="R21" s="25" t="str">
        <f aca="false">IF(AND($A21+(-24)&gt;=1,$A21+(-24)&lt;=$B$8),INDEX($P$12:$P$71,$A21+(-24)),"")</f>
        <v/>
      </c>
      <c r="S21" s="25" t="str">
        <f aca="false">IF(AND($A21+(-12)&gt;=1,$A21+(-12)&lt;=$B$8),INDEX($P$12:$P$71,$A21+(-12)),"")</f>
        <v/>
      </c>
      <c r="T21" s="25" t="n">
        <f aca="false">IF(AND($A21+(0)&gt;=1,$A21+(0)&lt;=$B$8),INDEX($P$12:$P$71,$A21+(0)),"")</f>
        <v>0.985511996240801</v>
      </c>
      <c r="U21" s="25" t="n">
        <f aca="false">IF(AND($A21+(12)&gt;=1,$A21+(12)&lt;=$B$8),INDEX($P$12:$P$71,$A21+(12)),"")</f>
        <v>1.03484173452625</v>
      </c>
      <c r="V21" s="25" t="n">
        <f aca="false">IF(AND($A21+(24)&gt;=1,$A21+(24)&lt;=$B$8),INDEX($P$12:$P$71,$A21+(24)),"")</f>
        <v>1.09552188569791</v>
      </c>
      <c r="W21" s="25" t="n">
        <f aca="false">IF(AND($A21+(36)&gt;=1,$A21+(36)&lt;=$B$8),INDEX($P$12:$P$71,$A21+(36)),"")</f>
        <v>1.27820691251731</v>
      </c>
      <c r="X21" s="25" t="n">
        <f aca="false">IF(SUMPRODUCT(Bobot_Filter!$B$43:$H$43,ISNUMBER(Q21:W21)*1)&gt;0,SUMPRODUCT(Bobot_Filter!$B$43:$H$43,Q21:W21)/SUMPRODUCT(Bobot_Filter!$B$43:$H$43,ISNUMBER(Q21:W21)*1),"")</f>
        <v>1.05892354180159</v>
      </c>
      <c r="Y21" s="25" t="n">
        <f aca="false">IF(AND($A21&gt;=$B$6,$A21&lt;=$B$7),SUMPRODUCT(Bobot_Filter!$B$4:$B$16,X15:X27),"")</f>
        <v>0.998357742538693</v>
      </c>
      <c r="Z21" s="33" t="n">
        <f aca="false">X21/INDEX($Y$12:$Y$71,MAX($B$6,MIN($A21,$B$7)))</f>
        <v>1.06066542751387</v>
      </c>
      <c r="AA21" s="27" t="n">
        <f aca="false">C21/Z21</f>
        <v>210.245374474679</v>
      </c>
      <c r="AB21" s="27" t="n">
        <f aca="false">IF(AND($A21&gt;=$B$6,$A21&lt;=$B$7),SUMPRODUCT(Bobot_Filter!$B$20:$B$32,AA15:AA27),"")</f>
        <v>224.56890046246</v>
      </c>
      <c r="AC21" s="25" t="n">
        <f aca="false">IF(ISNUMBER(AB21),AA21/AB21,"")</f>
        <v>0.936217677700322</v>
      </c>
      <c r="AD21" s="27" t="n">
        <f aca="false">$B$4+$B$3*A21</f>
        <v>231.006782686394</v>
      </c>
      <c r="AE21" s="27" t="n">
        <f aca="false">AD21*Z21</f>
        <v>245.020907916668</v>
      </c>
    </row>
    <row r="22" customFormat="false" ht="15" hidden="false" customHeight="false" outlineLevel="0" collapsed="false">
      <c r="A22" s="8" t="n">
        <v>11</v>
      </c>
      <c r="B22" s="22" t="n">
        <f aca="false">Data!B15</f>
        <v>44652</v>
      </c>
      <c r="C22" s="23" t="n">
        <f aca="false">Data!E15</f>
        <v>293</v>
      </c>
      <c r="D22" s="27" t="n">
        <f aca="false">IF(AND($A22&gt;=$B$6,$A22&lt;=$B$7),SUMPRODUCT(Bobot_Filter!$B$4:$B$16,C16:C28),"")</f>
        <v>233.333333333333</v>
      </c>
      <c r="E22" s="25" t="n">
        <f aca="false">IF(ISNUMBER(D22),C22/D22,"")</f>
        <v>1.25571428571429</v>
      </c>
      <c r="F22" s="25" t="str">
        <f aca="false">IF(AND($A22+(-24)&gt;=1,$A22+(-24)&lt;=$B$8),INDEX($E$12:$E$71,$A22+(-24)),"")</f>
        <v/>
      </c>
      <c r="G22" s="25" t="str">
        <f aca="false">IF(AND($A22+(-12)&gt;=1,$A22+(-12)&lt;=$B$8),INDEX($E$12:$E$71,$A22+(-12)),"")</f>
        <v/>
      </c>
      <c r="H22" s="25" t="n">
        <f aca="false">IF(AND($A22+(0)&gt;=1,$A22+(0)&lt;=$B$8),INDEX($E$12:$E$71,$A22+(0)),"")</f>
        <v>1.25571428571429</v>
      </c>
      <c r="I22" s="25" t="n">
        <f aca="false">IF(AND($A22+(12)&gt;=1,$A22+(12)&lt;=$B$8),INDEX($E$12:$E$71,$A22+(12)),"")</f>
        <v>1.24899598393574</v>
      </c>
      <c r="J22" s="25" t="n">
        <f aca="false">IF(AND($A22+(24)&gt;=1,$A22+(24)&lt;=$B$8),INDEX($E$12:$E$71,$A22+(24)),"")</f>
        <v>1.15505913272011</v>
      </c>
      <c r="K22" s="25" t="n">
        <f aca="false">IF(SUMPRODUCT(Bobot_Filter!$B$38:$F$38,ISNUMBER(F22:J22)*1)&gt;0,SUMPRODUCT(Bobot_Filter!$B$38:$F$38,F22:J22)/SUMPRODUCT(Bobot_Filter!$B$38:$F$38,ISNUMBER(F22:J22)*1),"")</f>
        <v>1.23669899295574</v>
      </c>
      <c r="L22" s="25" t="n">
        <f aca="false">IF(AND($A22&gt;=$B$6,$A22&lt;=$B$7),SUMPRODUCT(Bobot_Filter!$B$4:$B$16,K16:K28),"")</f>
        <v>0.995196693706899</v>
      </c>
      <c r="M22" s="25" t="n">
        <f aca="false">K22/INDEX($L$12:$L$71,MAX($B$6,MIN($A22,$B$7)))</f>
        <v>1.24266790753624</v>
      </c>
      <c r="N22" s="27" t="n">
        <f aca="false">C22/M22</f>
        <v>235.783026360528</v>
      </c>
      <c r="O22" s="27" t="n">
        <f aca="false">IF(AND($A22&gt;=$B$6,$A22&lt;=$B$7),SUMPRODUCT(Bobot_Filter!$B$20:$B$32,N16:N28),"")</f>
        <v>229.787900801299</v>
      </c>
      <c r="P22" s="25" t="n">
        <f aca="false">IF(ISNUMBER(O22),C22/O22,"")</f>
        <v>1.27508889274968</v>
      </c>
      <c r="Q22" s="25" t="str">
        <f aca="false">IF(AND($A22+(-36)&gt;=1,$A22+(-36)&lt;=$B$8),INDEX($P$12:$P$71,$A22+(-36)),"")</f>
        <v/>
      </c>
      <c r="R22" s="25" t="str">
        <f aca="false">IF(AND($A22+(-24)&gt;=1,$A22+(-24)&lt;=$B$8),INDEX($P$12:$P$71,$A22+(-24)),"")</f>
        <v/>
      </c>
      <c r="S22" s="25" t="str">
        <f aca="false">IF(AND($A22+(-12)&gt;=1,$A22+(-12)&lt;=$B$8),INDEX($P$12:$P$71,$A22+(-12)),"")</f>
        <v/>
      </c>
      <c r="T22" s="25" t="n">
        <f aca="false">IF(AND($A22+(0)&gt;=1,$A22+(0)&lt;=$B$8),INDEX($P$12:$P$71,$A22+(0)),"")</f>
        <v>1.27508889274968</v>
      </c>
      <c r="U22" s="25" t="n">
        <f aca="false">IF(AND($A22+(12)&gt;=1,$A22+(12)&lt;=$B$8),INDEX($P$12:$P$71,$A22+(12)),"")</f>
        <v>1.25387261773949</v>
      </c>
      <c r="V22" s="25" t="n">
        <f aca="false">IF(AND($A22+(24)&gt;=1,$A22+(24)&lt;=$B$8),INDEX($P$12:$P$71,$A22+(24)),"")</f>
        <v>1.1472374888902</v>
      </c>
      <c r="W22" s="25" t="n">
        <f aca="false">IF(AND($A22+(36)&gt;=1,$A22+(36)&lt;=$B$8),INDEX($P$12:$P$71,$A22+(36)),"")</f>
        <v>1.0105368685175</v>
      </c>
      <c r="X22" s="25" t="n">
        <f aca="false">IF(SUMPRODUCT(Bobot_Filter!$B$43:$H$43,ISNUMBER(Q22:W22)*1)&gt;0,SUMPRODUCT(Bobot_Filter!$B$43:$H$43,Q22:W22)/SUMPRODUCT(Bobot_Filter!$B$43:$H$43,ISNUMBER(Q22:W22)*1),"")</f>
        <v>1.2102107086406</v>
      </c>
      <c r="Y22" s="25" t="n">
        <f aca="false">IF(AND($A22&gt;=$B$6,$A22&lt;=$B$7),SUMPRODUCT(Bobot_Filter!$B$4:$B$16,X16:X28),"")</f>
        <v>0.999284962559984</v>
      </c>
      <c r="Z22" s="33" t="n">
        <f aca="false">X22/INDEX($Y$12:$Y$71,MAX($B$6,MIN($A22,$B$7)))</f>
        <v>1.2110766738051</v>
      </c>
      <c r="AA22" s="27" t="n">
        <f aca="false">C22/Z22</f>
        <v>241.933484755692</v>
      </c>
      <c r="AB22" s="27" t="n">
        <f aca="false">IF(AND($A22&gt;=$B$6,$A22&lt;=$B$7),SUMPRODUCT(Bobot_Filter!$B$20:$B$32,AA16:AA28),"")</f>
        <v>230.36640534427</v>
      </c>
      <c r="AC22" s="25" t="n">
        <f aca="false">IF(ISNUMBER(AB22),AA22/AB22,"")</f>
        <v>1.05021165909211</v>
      </c>
      <c r="AD22" s="27" t="n">
        <f aca="false">$B$4+$B$3*A22</f>
        <v>232.079580938293</v>
      </c>
      <c r="AE22" s="27" t="n">
        <f aca="false">AD22*Z22</f>
        <v>281.06616694083</v>
      </c>
    </row>
    <row r="23" customFormat="false" ht="15" hidden="false" customHeight="false" outlineLevel="0" collapsed="false">
      <c r="A23" s="8" t="n">
        <v>12</v>
      </c>
      <c r="B23" s="22" t="n">
        <f aca="false">Data!B16</f>
        <v>44682</v>
      </c>
      <c r="C23" s="23" t="n">
        <f aca="false">Data!E16</f>
        <v>241</v>
      </c>
      <c r="D23" s="27" t="n">
        <f aca="false">IF(AND($A23&gt;=$B$6,$A23&lt;=$B$7),SUMPRODUCT(Bobot_Filter!$B$4:$B$16,C17:C29),"")</f>
        <v>232.875</v>
      </c>
      <c r="E23" s="25" t="n">
        <f aca="false">IF(ISNUMBER(D23),C23/D23,"")</f>
        <v>1.03488996242619</v>
      </c>
      <c r="F23" s="25" t="str">
        <f aca="false">IF(AND($A23+(-24)&gt;=1,$A23+(-24)&lt;=$B$8),INDEX($E$12:$E$71,$A23+(-24)),"")</f>
        <v/>
      </c>
      <c r="G23" s="25" t="str">
        <f aca="false">IF(AND($A23+(-12)&gt;=1,$A23+(-12)&lt;=$B$8),INDEX($E$12:$E$71,$A23+(-12)),"")</f>
        <v/>
      </c>
      <c r="H23" s="25" t="n">
        <f aca="false">IF(AND($A23+(0)&gt;=1,$A23+(0)&lt;=$B$8),INDEX($E$12:$E$71,$A23+(0)),"")</f>
        <v>1.03488996242619</v>
      </c>
      <c r="I23" s="25" t="n">
        <f aca="false">IF(AND($A23+(12)&gt;=1,$A23+(12)&lt;=$B$8),INDEX($E$12:$E$71,$A23+(12)),"")</f>
        <v>0.92123629112662</v>
      </c>
      <c r="J23" s="25" t="n">
        <f aca="false">IF(AND($A23+(24)&gt;=1,$A23+(24)&lt;=$B$8),INDEX($E$12:$E$71,$A23+(24)),"")</f>
        <v>0.951785420437716</v>
      </c>
      <c r="K23" s="25" t="n">
        <f aca="false">IF(SUMPRODUCT(Bobot_Filter!$B$38:$F$38,ISNUMBER(F23:J23)*1)&gt;0,SUMPRODUCT(Bobot_Filter!$B$38:$F$38,F23:J23)/SUMPRODUCT(Bobot_Filter!$B$38:$F$38,ISNUMBER(F23:J23)*1),"")</f>
        <v>0.983154648328257</v>
      </c>
      <c r="L23" s="25" t="n">
        <f aca="false">IF(AND($A23&gt;=$B$6,$A23&lt;=$B$7),SUMPRODUCT(Bobot_Filter!$B$4:$B$16,K17:K29),"")</f>
        <v>0.995282583610772</v>
      </c>
      <c r="M23" s="25" t="n">
        <f aca="false">K23/INDEX($L$12:$L$71,MAX($B$6,MIN($A23,$B$7)))</f>
        <v>0.98781458102229</v>
      </c>
      <c r="N23" s="27" t="n">
        <f aca="false">C23/M23</f>
        <v>243.972912153806</v>
      </c>
      <c r="O23" s="27" t="n">
        <f aca="false">IF(AND($A23&gt;=$B$6,$A23&lt;=$B$7),SUMPRODUCT(Bobot_Filter!$B$20:$B$32,N17:N29),"")</f>
        <v>234.163025907137</v>
      </c>
      <c r="P23" s="25" t="n">
        <f aca="false">IF(ISNUMBER(O23),C23/O23,"")</f>
        <v>1.02919749634417</v>
      </c>
      <c r="Q23" s="25" t="str">
        <f aca="false">IF(AND($A23+(-36)&gt;=1,$A23+(-36)&lt;=$B$8),INDEX($P$12:$P$71,$A23+(-36)),"")</f>
        <v/>
      </c>
      <c r="R23" s="25" t="str">
        <f aca="false">IF(AND($A23+(-24)&gt;=1,$A23+(-24)&lt;=$B$8),INDEX($P$12:$P$71,$A23+(-24)),"")</f>
        <v/>
      </c>
      <c r="S23" s="25" t="str">
        <f aca="false">IF(AND($A23+(-12)&gt;=1,$A23+(-12)&lt;=$B$8),INDEX($P$12:$P$71,$A23+(-12)),"")</f>
        <v/>
      </c>
      <c r="T23" s="25" t="n">
        <f aca="false">IF(AND($A23+(0)&gt;=1,$A23+(0)&lt;=$B$8),INDEX($P$12:$P$71,$A23+(0)),"")</f>
        <v>1.02919749634417</v>
      </c>
      <c r="U23" s="25" t="n">
        <f aca="false">IF(AND($A23+(12)&gt;=1,$A23+(12)&lt;=$B$8),INDEX($P$12:$P$71,$A23+(12)),"")</f>
        <v>0.926608537456975</v>
      </c>
      <c r="V23" s="25" t="n">
        <f aca="false">IF(AND($A23+(24)&gt;=1,$A23+(24)&lt;=$B$8),INDEX($P$12:$P$71,$A23+(24)),"")</f>
        <v>0.947012247366312</v>
      </c>
      <c r="W23" s="25" t="n">
        <f aca="false">IF(AND($A23+(36)&gt;=1,$A23+(36)&lt;=$B$8),INDEX($P$12:$P$71,$A23+(36)),"")</f>
        <v>0.916976624866307</v>
      </c>
      <c r="X23" s="25" t="n">
        <f aca="false">IF(SUMPRODUCT(Bobot_Filter!$B$43:$H$43,ISNUMBER(Q23:W23)*1)&gt;0,SUMPRODUCT(Bobot_Filter!$B$43:$H$43,Q23:W23)/SUMPRODUCT(Bobot_Filter!$B$43:$H$43,ISNUMBER(Q23:W23)*1),"")</f>
        <v>0.964268802333596</v>
      </c>
      <c r="Y23" s="25" t="n">
        <f aca="false">IF(AND($A23&gt;=$B$6,$A23&lt;=$B$7),SUMPRODUCT(Bobot_Filter!$B$4:$B$16,X17:X29),"")</f>
        <v>0.999576997721971</v>
      </c>
      <c r="Z23" s="33" t="n">
        <f aca="false">X23/INDEX($Y$12:$Y$71,MAX($B$6,MIN($A23,$B$7)))</f>
        <v>0.964676862844141</v>
      </c>
      <c r="AA23" s="27" t="n">
        <f aca="false">C23/Z23</f>
        <v>249.824588193671</v>
      </c>
      <c r="AB23" s="27" t="n">
        <f aca="false">IF(AND($A23&gt;=$B$6,$A23&lt;=$B$7),SUMPRODUCT(Bobot_Filter!$B$20:$B$32,AA17:AA29),"")</f>
        <v>236.966842375706</v>
      </c>
      <c r="AC23" s="25" t="n">
        <f aca="false">IF(ISNUMBER(AB23),AA23/AB23,"")</f>
        <v>1.05425968329181</v>
      </c>
      <c r="AD23" s="27" t="n">
        <f aca="false">$B$4+$B$3*A23</f>
        <v>233.152379190193</v>
      </c>
      <c r="AE23" s="27" t="n">
        <f aca="false">AD23*Z23</f>
        <v>224.916705721843</v>
      </c>
    </row>
    <row r="24" customFormat="false" ht="15" hidden="false" customHeight="false" outlineLevel="0" collapsed="false">
      <c r="A24" s="8" t="n">
        <v>13</v>
      </c>
      <c r="B24" s="22" t="n">
        <f aca="false">Data!B17</f>
        <v>44713</v>
      </c>
      <c r="C24" s="23" t="n">
        <f aca="false">Data!E17</f>
        <v>228</v>
      </c>
      <c r="D24" s="27" t="n">
        <f aca="false">IF(AND($A24&gt;=$B$6,$A24&lt;=$B$7),SUMPRODUCT(Bobot_Filter!$B$4:$B$16,C18:C30),"")</f>
        <v>233.166666666667</v>
      </c>
      <c r="E24" s="25" t="n">
        <f aca="false">IF(ISNUMBER(D24),C24/D24,"")</f>
        <v>0.977841315225161</v>
      </c>
      <c r="F24" s="25" t="str">
        <f aca="false">IF(AND($A24+(-24)&gt;=1,$A24+(-24)&lt;=$B$8),INDEX($E$12:$E$71,$A24+(-24)),"")</f>
        <v/>
      </c>
      <c r="G24" s="25" t="str">
        <f aca="false">IF(AND($A24+(-12)&gt;=1,$A24+(-12)&lt;=$B$8),INDEX($E$12:$E$71,$A24+(-12)),"")</f>
        <v/>
      </c>
      <c r="H24" s="25" t="n">
        <f aca="false">IF(AND($A24+(0)&gt;=1,$A24+(0)&lt;=$B$8),INDEX($E$12:$E$71,$A24+(0)),"")</f>
        <v>0.977841315225161</v>
      </c>
      <c r="I24" s="25" t="n">
        <f aca="false">IF(AND($A24+(12)&gt;=1,$A24+(12)&lt;=$B$8),INDEX($E$12:$E$71,$A24+(12)),"")</f>
        <v>0.927055702917772</v>
      </c>
      <c r="J24" s="25" t="n">
        <f aca="false">IF(AND($A24+(24)&gt;=1,$A24+(24)&lt;=$B$8),INDEX($E$12:$E$71,$A24+(24)),"")</f>
        <v>0.917925147734734</v>
      </c>
      <c r="K24" s="25" t="n">
        <f aca="false">IF(SUMPRODUCT(Bobot_Filter!$B$38:$F$38,ISNUMBER(F24:J24)*1)&gt;0,SUMPRODUCT(Bobot_Filter!$B$38:$F$38,F24:J24)/SUMPRODUCT(Bobot_Filter!$B$38:$F$38,ISNUMBER(F24:J24)*1),"")</f>
        <v>0.950926749874293</v>
      </c>
      <c r="L24" s="25" t="n">
        <f aca="false">IF(AND($A24&gt;=$B$6,$A24&lt;=$B$7),SUMPRODUCT(Bobot_Filter!$B$4:$B$16,K18:K30),"")</f>
        <v>0.994753174006215</v>
      </c>
      <c r="M24" s="25" t="n">
        <f aca="false">K24/INDEX($L$12:$L$71,MAX($B$6,MIN($A24,$B$7)))</f>
        <v>0.955942413377363</v>
      </c>
      <c r="N24" s="27" t="n">
        <f aca="false">C24/M24</f>
        <v>238.508090873876</v>
      </c>
      <c r="O24" s="27" t="n">
        <f aca="false">IF(AND($A24&gt;=$B$6,$A24&lt;=$B$7),SUMPRODUCT(Bobot_Filter!$B$20:$B$32,N18:N30),"")</f>
        <v>237.198985046993</v>
      </c>
      <c r="P24" s="25" t="n">
        <f aca="false">IF(ISNUMBER(O24),C24/O24,"")</f>
        <v>0.961218278209873</v>
      </c>
      <c r="Q24" s="25" t="str">
        <f aca="false">IF(AND($A24+(-36)&gt;=1,$A24+(-36)&lt;=$B$8),INDEX($P$12:$P$71,$A24+(-36)),"")</f>
        <v/>
      </c>
      <c r="R24" s="25" t="str">
        <f aca="false">IF(AND($A24+(-24)&gt;=1,$A24+(-24)&lt;=$B$8),INDEX($P$12:$P$71,$A24+(-24)),"")</f>
        <v/>
      </c>
      <c r="S24" s="25" t="str">
        <f aca="false">IF(AND($A24+(-12)&gt;=1,$A24+(-12)&lt;=$B$8),INDEX($P$12:$P$71,$A24+(-12)),"")</f>
        <v/>
      </c>
      <c r="T24" s="25" t="n">
        <f aca="false">IF(AND($A24+(0)&gt;=1,$A24+(0)&lt;=$B$8),INDEX($P$12:$P$71,$A24+(0)),"")</f>
        <v>0.961218278209873</v>
      </c>
      <c r="U24" s="25" t="n">
        <f aca="false">IF(AND($A24+(12)&gt;=1,$A24+(12)&lt;=$B$8),INDEX($P$12:$P$71,$A24+(12)),"")</f>
        <v>0.926297999942602</v>
      </c>
      <c r="V24" s="25" t="n">
        <f aca="false">IF(AND($A24+(24)&gt;=1,$A24+(24)&lt;=$B$8),INDEX($P$12:$P$71,$A24+(24)),"")</f>
        <v>0.921178835309406</v>
      </c>
      <c r="W24" s="25" t="n">
        <f aca="false">IF(AND($A24+(36)&gt;=1,$A24+(36)&lt;=$B$8),INDEX($P$12:$P$71,$A24+(36)),"")</f>
        <v>0.889166697841952</v>
      </c>
      <c r="X24" s="25" t="n">
        <f aca="false">IF(SUMPRODUCT(Bobot_Filter!$B$43:$H$43,ISNUMBER(Q24:W24)*1)&gt;0,SUMPRODUCT(Bobot_Filter!$B$43:$H$43,Q24:W24)/SUMPRODUCT(Bobot_Filter!$B$43:$H$43,ISNUMBER(Q24:W24)*1),"")</f>
        <v>0.932674800324243</v>
      </c>
      <c r="Y24" s="25" t="n">
        <f aca="false">IF(AND($A24&gt;=$B$6,$A24&lt;=$B$7),SUMPRODUCT(Bobot_Filter!$B$4:$B$16,X18:X30),"")</f>
        <v>0.999287863790171</v>
      </c>
      <c r="Z24" s="33" t="n">
        <f aca="false">X24/INDEX($Y$12:$Y$71,MAX($B$6,MIN($A24,$B$7)))</f>
        <v>0.933339465153442</v>
      </c>
      <c r="AA24" s="27" t="n">
        <f aca="false">C24/Z24</f>
        <v>244.284109386199</v>
      </c>
      <c r="AB24" s="27" t="n">
        <f aca="false">IF(AND($A24&gt;=$B$6,$A24&lt;=$B$7),SUMPRODUCT(Bobot_Filter!$B$20:$B$32,AA18:AA30),"")</f>
        <v>241.119766734095</v>
      </c>
      <c r="AC24" s="25" t="n">
        <f aca="false">IF(ISNUMBER(AB24),AA24/AB24,"")</f>
        <v>1.01312353066264</v>
      </c>
      <c r="AD24" s="27" t="n">
        <f aca="false">$B$4+$B$3*A24</f>
        <v>234.225177442092</v>
      </c>
      <c r="AE24" s="27" t="n">
        <f aca="false">AD24*Z24</f>
        <v>218.611601839272</v>
      </c>
      <c r="AF24" s="28" t="n">
        <f aca="false">ABS(C24-AE24)/C24</f>
        <v>0.0411771849154723</v>
      </c>
    </row>
    <row r="25" customFormat="false" ht="15" hidden="false" customHeight="false" outlineLevel="0" collapsed="false">
      <c r="A25" s="8" t="n">
        <v>14</v>
      </c>
      <c r="B25" s="22" t="n">
        <f aca="false">Data!B18</f>
        <v>44743</v>
      </c>
      <c r="C25" s="23" t="n">
        <f aca="false">Data!E18</f>
        <v>245</v>
      </c>
      <c r="D25" s="27" t="n">
        <f aca="false">IF(AND($A25&gt;=$B$6,$A25&lt;=$B$7),SUMPRODUCT(Bobot_Filter!$B$4:$B$16,C19:C31),"")</f>
        <v>234</v>
      </c>
      <c r="E25" s="25" t="n">
        <f aca="false">IF(ISNUMBER(D25),C25/D25,"")</f>
        <v>1.04700854700855</v>
      </c>
      <c r="F25" s="25" t="str">
        <f aca="false">IF(AND($A25+(-24)&gt;=1,$A25+(-24)&lt;=$B$8),INDEX($E$12:$E$71,$A25+(-24)),"")</f>
        <v/>
      </c>
      <c r="G25" s="25" t="str">
        <f aca="false">IF(AND($A25+(-12)&gt;=1,$A25+(-12)&lt;=$B$8),INDEX($E$12:$E$71,$A25+(-12)),"")</f>
        <v/>
      </c>
      <c r="H25" s="25" t="n">
        <f aca="false">IF(AND($A25+(0)&gt;=1,$A25+(0)&lt;=$B$8),INDEX($E$12:$E$71,$A25+(0)),"")</f>
        <v>1.04700854700855</v>
      </c>
      <c r="I25" s="25" t="n">
        <f aca="false">IF(AND($A25+(12)&gt;=1,$A25+(12)&lt;=$B$8),INDEX($E$12:$E$71,$A25+(12)),"")</f>
        <v>1.05450941526264</v>
      </c>
      <c r="J25" s="25" t="n">
        <f aca="false">IF(AND($A25+(24)&gt;=1,$A25+(24)&lt;=$B$8),INDEX($E$12:$E$71,$A25+(24)),"")</f>
        <v>1.01425061425061</v>
      </c>
      <c r="K25" s="25" t="n">
        <f aca="false">IF(SUMPRODUCT(Bobot_Filter!$B$38:$F$38,ISNUMBER(F25:J25)*1)&gt;0,SUMPRODUCT(Bobot_Filter!$B$38:$F$38,F25:J25)/SUMPRODUCT(Bobot_Filter!$B$38:$F$38,ISNUMBER(F25:J25)*1),"")</f>
        <v>1.04404918096692</v>
      </c>
      <c r="L25" s="25" t="n">
        <f aca="false">IF(AND($A25&gt;=$B$6,$A25&lt;=$B$7),SUMPRODUCT(Bobot_Filter!$B$4:$B$16,K19:K31),"")</f>
        <v>0.994586865663374</v>
      </c>
      <c r="M25" s="25" t="n">
        <f aca="false">K25/INDEX($L$12:$L$71,MAX($B$6,MIN($A25,$B$7)))</f>
        <v>1.04973151869501</v>
      </c>
      <c r="N25" s="27" t="n">
        <f aca="false">C25/M25</f>
        <v>233.39301110495</v>
      </c>
      <c r="O25" s="27" t="n">
        <f aca="false">IF(AND($A25&gt;=$B$6,$A25&lt;=$B$7),SUMPRODUCT(Bobot_Filter!$B$20:$B$32,N19:N31),"")</f>
        <v>238.223541220803</v>
      </c>
      <c r="P25" s="25" t="n">
        <f aca="false">IF(ISNUMBER(O25),C25/O25,"")</f>
        <v>1.02844579819639</v>
      </c>
      <c r="Q25" s="25" t="str">
        <f aca="false">IF(AND($A25+(-36)&gt;=1,$A25+(-36)&lt;=$B$8),INDEX($P$12:$P$71,$A25+(-36)),"")</f>
        <v/>
      </c>
      <c r="R25" s="25" t="str">
        <f aca="false">IF(AND($A25+(-24)&gt;=1,$A25+(-24)&lt;=$B$8),INDEX($P$12:$P$71,$A25+(-24)),"")</f>
        <v/>
      </c>
      <c r="S25" s="25" t="str">
        <f aca="false">IF(AND($A25+(-12)&gt;=1,$A25+(-12)&lt;=$B$8),INDEX($P$12:$P$71,$A25+(-12)),"")</f>
        <v/>
      </c>
      <c r="T25" s="25" t="n">
        <f aca="false">IF(AND($A25+(0)&gt;=1,$A25+(0)&lt;=$B$8),INDEX($P$12:$P$71,$A25+(0)),"")</f>
        <v>1.02844579819639</v>
      </c>
      <c r="U25" s="25" t="n">
        <f aca="false">IF(AND($A25+(12)&gt;=1,$A25+(12)&lt;=$B$8),INDEX($P$12:$P$71,$A25+(12)),"")</f>
        <v>1.04671826253787</v>
      </c>
      <c r="V25" s="25" t="n">
        <f aca="false">IF(AND($A25+(24)&gt;=1,$A25+(24)&lt;=$B$8),INDEX($P$12:$P$71,$A25+(24)),"")</f>
        <v>1.02519522355521</v>
      </c>
      <c r="W25" s="25" t="n">
        <f aca="false">IF(AND($A25+(36)&gt;=1,$A25+(36)&lt;=$B$8),INDEX($P$12:$P$71,$A25+(36)),"")</f>
        <v>1.00527661784622</v>
      </c>
      <c r="X25" s="25" t="n">
        <f aca="false">IF(SUMPRODUCT(Bobot_Filter!$B$43:$H$43,ISNUMBER(Q25:W25)*1)&gt;0,SUMPRODUCT(Bobot_Filter!$B$43:$H$43,Q25:W25)/SUMPRODUCT(Bobot_Filter!$B$43:$H$43,ISNUMBER(Q25:W25)*1),"")</f>
        <v>1.03123991635105</v>
      </c>
      <c r="Y25" s="25" t="n">
        <f aca="false">IF(AND($A25&gt;=$B$6,$A25&lt;=$B$7),SUMPRODUCT(Bobot_Filter!$B$4:$B$16,X19:X31),"")</f>
        <v>0.999100134936445</v>
      </c>
      <c r="Z25" s="33" t="n">
        <f aca="false">X25/INDEX($Y$12:$Y$71,MAX($B$6,MIN($A25,$B$7)))</f>
        <v>1.03216872892991</v>
      </c>
      <c r="AA25" s="27" t="n">
        <f aca="false">C25/Z25</f>
        <v>237.364292419517</v>
      </c>
      <c r="AB25" s="27" t="n">
        <f aca="false">IF(AND($A25&gt;=$B$6,$A25&lt;=$B$7),SUMPRODUCT(Bobot_Filter!$B$20:$B$32,AA19:AA31),"")</f>
        <v>241.605773076749</v>
      </c>
      <c r="AC25" s="25" t="n">
        <f aca="false">IF(ISNUMBER(AB25),AA25/AB25,"")</f>
        <v>0.982444622066691</v>
      </c>
      <c r="AD25" s="27" t="n">
        <f aca="false">$B$4+$B$3*A25</f>
        <v>235.297975693992</v>
      </c>
      <c r="AE25" s="27" t="n">
        <f aca="false">AD25*Z25</f>
        <v>242.867212491848</v>
      </c>
      <c r="AF25" s="28" t="n">
        <f aca="false">ABS(C25-AE25)/C25</f>
        <v>0.00870525513531617</v>
      </c>
    </row>
    <row r="26" customFormat="false" ht="15" hidden="false" customHeight="false" outlineLevel="0" collapsed="false">
      <c r="A26" s="8" t="n">
        <v>15</v>
      </c>
      <c r="B26" s="22" t="n">
        <f aca="false">Data!B19</f>
        <v>44774</v>
      </c>
      <c r="C26" s="23" t="n">
        <f aca="false">Data!E19</f>
        <v>223</v>
      </c>
      <c r="D26" s="27" t="n">
        <f aca="false">IF(AND($A26&gt;=$B$6,$A26&lt;=$B$7),SUMPRODUCT(Bobot_Filter!$B$4:$B$16,C20:C32),"")</f>
        <v>236.708333333333</v>
      </c>
      <c r="E26" s="25" t="n">
        <f aca="false">IF(ISNUMBER(D26),C26/D26,"")</f>
        <v>0.94208766062313</v>
      </c>
      <c r="F26" s="25" t="str">
        <f aca="false">IF(AND($A26+(-24)&gt;=1,$A26+(-24)&lt;=$B$8),INDEX($E$12:$E$71,$A26+(-24)),"")</f>
        <v/>
      </c>
      <c r="G26" s="25" t="str">
        <f aca="false">IF(AND($A26+(-12)&gt;=1,$A26+(-12)&lt;=$B$8),INDEX($E$12:$E$71,$A26+(-12)),"")</f>
        <v/>
      </c>
      <c r="H26" s="25" t="n">
        <f aca="false">IF(AND($A26+(0)&gt;=1,$A26+(0)&lt;=$B$8),INDEX($E$12:$E$71,$A26+(0)),"")</f>
        <v>0.94208766062313</v>
      </c>
      <c r="I26" s="25" t="n">
        <f aca="false">IF(AND($A26+(12)&gt;=1,$A26+(12)&lt;=$B$8),INDEX($E$12:$E$71,$A26+(12)),"")</f>
        <v>0.89064039408867</v>
      </c>
      <c r="J26" s="25" t="n">
        <f aca="false">IF(AND($A26+(24)&gt;=1,$A26+(24)&lt;=$B$8),INDEX($E$12:$E$71,$A26+(24)),"")</f>
        <v>0.883507853403141</v>
      </c>
      <c r="K26" s="25" t="n">
        <f aca="false">IF(SUMPRODUCT(Bobot_Filter!$B$38:$F$38,ISNUMBER(F26:J26)*1)&gt;0,SUMPRODUCT(Bobot_Filter!$B$38:$F$38,F26:J26)/SUMPRODUCT(Bobot_Filter!$B$38:$F$38,ISNUMBER(F26:J26)*1),"")</f>
        <v>0.915175270574978</v>
      </c>
      <c r="L26" s="25" t="n">
        <f aca="false">IF(AND($A26&gt;=$B$6,$A26&lt;=$B$7),SUMPRODUCT(Bobot_Filter!$B$4:$B$16,K20:K32),"")</f>
        <v>0.996960053408309</v>
      </c>
      <c r="M26" s="25" t="n">
        <f aca="false">K26/INDEX($L$12:$L$71,MAX($B$6,MIN($A26,$B$7)))</f>
        <v>0.917965837694566</v>
      </c>
      <c r="N26" s="27" t="n">
        <f aca="false">C26/M26</f>
        <v>242.928430278032</v>
      </c>
      <c r="O26" s="27" t="n">
        <f aca="false">IF(AND($A26&gt;=$B$6,$A26&lt;=$B$7),SUMPRODUCT(Bobot_Filter!$B$20:$B$32,N20:N32),"")</f>
        <v>237.558030341441</v>
      </c>
      <c r="P26" s="25" t="n">
        <f aca="false">IF(ISNUMBER(O26),C26/O26,"")</f>
        <v>0.938718003678862</v>
      </c>
      <c r="Q26" s="25" t="str">
        <f aca="false">IF(AND($A26+(-36)&gt;=1,$A26+(-36)&lt;=$B$8),INDEX($P$12:$P$71,$A26+(-36)),"")</f>
        <v/>
      </c>
      <c r="R26" s="25" t="str">
        <f aca="false">IF(AND($A26+(-24)&gt;=1,$A26+(-24)&lt;=$B$8),INDEX($P$12:$P$71,$A26+(-24)),"")</f>
        <v/>
      </c>
      <c r="S26" s="25" t="str">
        <f aca="false">IF(AND($A26+(-12)&gt;=1,$A26+(-12)&lt;=$B$8),INDEX($P$12:$P$71,$A26+(-12)),"")</f>
        <v/>
      </c>
      <c r="T26" s="25" t="n">
        <f aca="false">IF(AND($A26+(0)&gt;=1,$A26+(0)&lt;=$B$8),INDEX($P$12:$P$71,$A26+(0)),"")</f>
        <v>0.938718003678862</v>
      </c>
      <c r="U26" s="25" t="n">
        <f aca="false">IF(AND($A26+(12)&gt;=1,$A26+(12)&lt;=$B$8),INDEX($P$12:$P$71,$A26+(12)),"")</f>
        <v>0.881774714221948</v>
      </c>
      <c r="V26" s="25" t="n">
        <f aca="false">IF(AND($A26+(24)&gt;=1,$A26+(24)&lt;=$B$8),INDEX($P$12:$P$71,$A26+(24)),"")</f>
        <v>0.896070263888533</v>
      </c>
      <c r="W26" s="25" t="n">
        <f aca="false">IF(AND($A26+(36)&gt;=1,$A26+(36)&lt;=$B$8),INDEX($P$12:$P$71,$A26+(36)),"")</f>
        <v>0.889833135203484</v>
      </c>
      <c r="X26" s="25" t="n">
        <f aca="false">IF(SUMPRODUCT(Bobot_Filter!$B$43:$H$43,ISNUMBER(Q26:W26)*1)&gt;0,SUMPRODUCT(Bobot_Filter!$B$43:$H$43,Q26:W26)/SUMPRODUCT(Bobot_Filter!$B$43:$H$43,ISNUMBER(Q26:W26)*1),"")</f>
        <v>0.904827979631442</v>
      </c>
      <c r="Y26" s="25" t="n">
        <f aca="false">IF(AND($A26&gt;=$B$6,$A26&lt;=$B$7),SUMPRODUCT(Bobot_Filter!$B$4:$B$16,X20:X32),"")</f>
        <v>0.999646995416914</v>
      </c>
      <c r="Z26" s="33" t="n">
        <f aca="false">X26/INDEX($Y$12:$Y$71,MAX($B$6,MIN($A26,$B$7)))</f>
        <v>0.90514750084761</v>
      </c>
      <c r="AA26" s="27" t="n">
        <f aca="false">C26/Z26</f>
        <v>246.368685535977</v>
      </c>
      <c r="AB26" s="27" t="n">
        <f aca="false">IF(AND($A26&gt;=$B$6,$A26&lt;=$B$7),SUMPRODUCT(Bobot_Filter!$B$20:$B$32,AA20:AA32),"")</f>
        <v>239.074532743274</v>
      </c>
      <c r="AC26" s="25" t="n">
        <f aca="false">IF(ISNUMBER(AB26),AA26/AB26,"")</f>
        <v>1.03050995314727</v>
      </c>
      <c r="AD26" s="27" t="n">
        <f aca="false">$B$4+$B$3*A26</f>
        <v>236.370773945891</v>
      </c>
      <c r="AE26" s="27" t="n">
        <f aca="false">AD26*Z26</f>
        <v>213.950415310539</v>
      </c>
      <c r="AF26" s="28" t="n">
        <f aca="false">ABS(C26-AE26)/C26</f>
        <v>0.0405810972621581</v>
      </c>
    </row>
    <row r="27" customFormat="false" ht="15" hidden="false" customHeight="false" outlineLevel="0" collapsed="false">
      <c r="A27" s="8" t="n">
        <v>16</v>
      </c>
      <c r="B27" s="22" t="n">
        <f aca="false">Data!B20</f>
        <v>44805</v>
      </c>
      <c r="C27" s="23" t="n">
        <f aca="false">Data!E20</f>
        <v>206</v>
      </c>
      <c r="D27" s="27" t="n">
        <f aca="false">IF(AND($A27&gt;=$B$6,$A27&lt;=$B$7),SUMPRODUCT(Bobot_Filter!$B$4:$B$16,C21:C33),"")</f>
        <v>240.125</v>
      </c>
      <c r="E27" s="25" t="n">
        <f aca="false">IF(ISNUMBER(D27),C27/D27,"")</f>
        <v>0.857886517438834</v>
      </c>
      <c r="F27" s="25" t="str">
        <f aca="false">IF(AND($A27+(-24)&gt;=1,$A27+(-24)&lt;=$B$8),INDEX($E$12:$E$71,$A27+(-24)),"")</f>
        <v/>
      </c>
      <c r="G27" s="25" t="str">
        <f aca="false">IF(AND($A27+(-12)&gt;=1,$A27+(-12)&lt;=$B$8),INDEX($E$12:$E$71,$A27+(-12)),"")</f>
        <v/>
      </c>
      <c r="H27" s="25" t="n">
        <f aca="false">IF(AND($A27+(0)&gt;=1,$A27+(0)&lt;=$B$8),INDEX($E$12:$E$71,$A27+(0)),"")</f>
        <v>0.857886517438834</v>
      </c>
      <c r="I27" s="25" t="n">
        <f aca="false">IF(AND($A27+(12)&gt;=1,$A27+(12)&lt;=$B$8),INDEX($E$12:$E$71,$A27+(12)),"")</f>
        <v>0.946853602869254</v>
      </c>
      <c r="J27" s="25" t="n">
        <f aca="false">IF(AND($A27+(24)&gt;=1,$A27+(24)&lt;=$B$8),INDEX($E$12:$E$71,$A27+(24)),"")</f>
        <v>0.897959183673469</v>
      </c>
      <c r="K27" s="25" t="n">
        <f aca="false">IF(SUMPRODUCT(Bobot_Filter!$B$38:$F$38,ISNUMBER(F27:J27)*1)&gt;0,SUMPRODUCT(Bobot_Filter!$B$38:$F$38,F27:J27)/SUMPRODUCT(Bobot_Filter!$B$38:$F$38,ISNUMBER(F27:J27)*1),"")</f>
        <v>0.89422099028808</v>
      </c>
      <c r="L27" s="25" t="n">
        <f aca="false">IF(AND($A27&gt;=$B$6,$A27&lt;=$B$7),SUMPRODUCT(Bobot_Filter!$B$4:$B$16,K21:K33),"")</f>
        <v>1.00137252492</v>
      </c>
      <c r="M27" s="25" t="n">
        <f aca="false">K27/INDEX($L$12:$L$71,MAX($B$6,MIN($A27,$B$7)))</f>
        <v>0.892995331941549</v>
      </c>
      <c r="N27" s="27" t="n">
        <f aca="false">C27/M27</f>
        <v>230.684296582061</v>
      </c>
      <c r="O27" s="27" t="n">
        <f aca="false">IF(AND($A27&gt;=$B$6,$A27&lt;=$B$7),SUMPRODUCT(Bobot_Filter!$B$20:$B$32,N21:N33),"")</f>
        <v>236.93272777245</v>
      </c>
      <c r="P27" s="25" t="n">
        <f aca="false">IF(ISNUMBER(O27),C27/O27,"")</f>
        <v>0.869445103412822</v>
      </c>
      <c r="Q27" s="25" t="str">
        <f aca="false">IF(AND($A27+(-36)&gt;=1,$A27+(-36)&lt;=$B$8),INDEX($P$12:$P$71,$A27+(-36)),"")</f>
        <v/>
      </c>
      <c r="R27" s="25" t="str">
        <f aca="false">IF(AND($A27+(-24)&gt;=1,$A27+(-24)&lt;=$B$8),INDEX($P$12:$P$71,$A27+(-24)),"")</f>
        <v/>
      </c>
      <c r="S27" s="25" t="str">
        <f aca="false">IF(AND($A27+(-12)&gt;=1,$A27+(-12)&lt;=$B$8),INDEX($P$12:$P$71,$A27+(-12)),"")</f>
        <v/>
      </c>
      <c r="T27" s="25" t="n">
        <f aca="false">IF(AND($A27+(0)&gt;=1,$A27+(0)&lt;=$B$8),INDEX($P$12:$P$71,$A27+(0)),"")</f>
        <v>0.869445103412822</v>
      </c>
      <c r="U27" s="25" t="n">
        <f aca="false">IF(AND($A27+(12)&gt;=1,$A27+(12)&lt;=$B$8),INDEX($P$12:$P$71,$A27+(12)),"")</f>
        <v>0.938870773751043</v>
      </c>
      <c r="V27" s="25" t="n">
        <f aca="false">IF(AND($A27+(24)&gt;=1,$A27+(24)&lt;=$B$8),INDEX($P$12:$P$71,$A27+(24)),"")</f>
        <v>0.920866963360894</v>
      </c>
      <c r="W27" s="25" t="n">
        <f aca="false">IF(AND($A27+(36)&gt;=1,$A27+(36)&lt;=$B$8),INDEX($P$12:$P$71,$A27+(36)),"")</f>
        <v>0.958871147553512</v>
      </c>
      <c r="X27" s="25" t="n">
        <f aca="false">IF(SUMPRODUCT(Bobot_Filter!$B$43:$H$43,ISNUMBER(Q27:W27)*1)&gt;0,SUMPRODUCT(Bobot_Filter!$B$43:$H$43,Q27:W27)/SUMPRODUCT(Bobot_Filter!$B$43:$H$43,ISNUMBER(Q27:W27)*1),"")</f>
        <v>0.913950300640766</v>
      </c>
      <c r="Y27" s="25" t="n">
        <f aca="false">IF(AND($A27&gt;=$B$6,$A27&lt;=$B$7),SUMPRODUCT(Bobot_Filter!$B$4:$B$16,X21:X33),"")</f>
        <v>1.00116384305077</v>
      </c>
      <c r="Z27" s="33" t="n">
        <f aca="false">X27/INDEX($Y$12:$Y$71,MAX($B$6,MIN($A27,$B$7)))</f>
        <v>0.912887842469176</v>
      </c>
      <c r="AA27" s="27" t="n">
        <f aca="false">C27/Z27</f>
        <v>225.657512803338</v>
      </c>
      <c r="AB27" s="27" t="n">
        <f aca="false">IF(AND($A27&gt;=$B$6,$A27&lt;=$B$7),SUMPRODUCT(Bobot_Filter!$B$20:$B$32,AA21:AA33),"")</f>
        <v>236.416698552192</v>
      </c>
      <c r="AC27" s="25" t="n">
        <f aca="false">IF(ISNUMBER(AB27),AA27/AB27,"")</f>
        <v>0.954490584570623</v>
      </c>
      <c r="AD27" s="27" t="n">
        <f aca="false">$B$4+$B$3*A27</f>
        <v>237.44357219779</v>
      </c>
      <c r="AE27" s="27" t="n">
        <f aca="false">AD27*Z27</f>
        <v>216.759350331815</v>
      </c>
      <c r="AF27" s="28" t="n">
        <f aca="false">ABS(C27-AE27)/C27</f>
        <v>0.0522298559796838</v>
      </c>
    </row>
    <row r="28" customFormat="false" ht="15" hidden="false" customHeight="false" outlineLevel="0" collapsed="false">
      <c r="A28" s="8" t="n">
        <v>17</v>
      </c>
      <c r="B28" s="22" t="n">
        <f aca="false">Data!B21</f>
        <v>44835</v>
      </c>
      <c r="C28" s="23" t="n">
        <f aca="false">Data!E21</f>
        <v>207</v>
      </c>
      <c r="D28" s="27" t="n">
        <f aca="false">IF(AND($A28&gt;=$B$6,$A28&lt;=$B$7),SUMPRODUCT(Bobot_Filter!$B$4:$B$16,C22:C34),"")</f>
        <v>242.25</v>
      </c>
      <c r="E28" s="25" t="n">
        <f aca="false">IF(ISNUMBER(D28),C28/D28,"")</f>
        <v>0.854489164086687</v>
      </c>
      <c r="F28" s="25" t="str">
        <f aca="false">IF(AND($A28+(-24)&gt;=1,$A28+(-24)&lt;=$B$8),INDEX($E$12:$E$71,$A28+(-24)),"")</f>
        <v/>
      </c>
      <c r="G28" s="25" t="str">
        <f aca="false">IF(AND($A28+(-12)&gt;=1,$A28+(-12)&lt;=$B$8),INDEX($E$12:$E$71,$A28+(-12)),"")</f>
        <v/>
      </c>
      <c r="H28" s="25" t="n">
        <f aca="false">IF(AND($A28+(0)&gt;=1,$A28+(0)&lt;=$B$8),INDEX($E$12:$E$71,$A28+(0)),"")</f>
        <v>0.854489164086687</v>
      </c>
      <c r="I28" s="25" t="n">
        <f aca="false">IF(AND($A28+(12)&gt;=1,$A28+(12)&lt;=$B$8),INDEX($E$12:$E$71,$A28+(12)),"")</f>
        <v>0.942019543973941</v>
      </c>
      <c r="J28" s="25" t="n">
        <f aca="false">IF(AND($A28+(24)&gt;=1,$A28+(24)&lt;=$B$8),INDEX($E$12:$E$71,$A28+(24)),"")</f>
        <v>0.878284700951153</v>
      </c>
      <c r="K28" s="25" t="n">
        <f aca="false">IF(SUMPRODUCT(Bobot_Filter!$B$38:$F$38,ISNUMBER(F28:J28)*1)&gt;0,SUMPRODUCT(Bobot_Filter!$B$38:$F$38,F28:J28)/SUMPRODUCT(Bobot_Filter!$B$38:$F$38,ISNUMBER(F28:J28)*1),"")</f>
        <v>0.887631880193183</v>
      </c>
      <c r="L28" s="25" t="n">
        <f aca="false">IF(AND($A28&gt;=$B$6,$A28&lt;=$B$7),SUMPRODUCT(Bobot_Filter!$B$4:$B$16,K22:K34),"")</f>
        <v>1.00196609115015</v>
      </c>
      <c r="M28" s="25" t="n">
        <f aca="false">K28/INDEX($L$12:$L$71,MAX($B$6,MIN($A28,$B$7)))</f>
        <v>0.885890139430046</v>
      </c>
      <c r="N28" s="27" t="n">
        <f aca="false">C28/M28</f>
        <v>233.663284855137</v>
      </c>
      <c r="O28" s="27" t="n">
        <f aca="false">IF(AND($A28&gt;=$B$6,$A28&lt;=$B$7),SUMPRODUCT(Bobot_Filter!$B$20:$B$32,N22:N34),"")</f>
        <v>237.480275264868</v>
      </c>
      <c r="P28" s="25" t="n">
        <f aca="false">IF(ISNUMBER(O28),C28/O28,"")</f>
        <v>0.871651339333878</v>
      </c>
      <c r="Q28" s="25" t="str">
        <f aca="false">IF(AND($A28+(-36)&gt;=1,$A28+(-36)&lt;=$B$8),INDEX($P$12:$P$71,$A28+(-36)),"")</f>
        <v/>
      </c>
      <c r="R28" s="25" t="str">
        <f aca="false">IF(AND($A28+(-24)&gt;=1,$A28+(-24)&lt;=$B$8),INDEX($P$12:$P$71,$A28+(-24)),"")</f>
        <v/>
      </c>
      <c r="S28" s="25" t="str">
        <f aca="false">IF(AND($A28+(-12)&gt;=1,$A28+(-12)&lt;=$B$8),INDEX($P$12:$P$71,$A28+(-12)),"")</f>
        <v/>
      </c>
      <c r="T28" s="25" t="n">
        <f aca="false">IF(AND($A28+(0)&gt;=1,$A28+(0)&lt;=$B$8),INDEX($P$12:$P$71,$A28+(0)),"")</f>
        <v>0.871651339333878</v>
      </c>
      <c r="U28" s="25" t="n">
        <f aca="false">IF(AND($A28+(12)&gt;=1,$A28+(12)&lt;=$B$8),INDEX($P$12:$P$71,$A28+(12)),"")</f>
        <v>0.933110248488267</v>
      </c>
      <c r="V28" s="25" t="n">
        <f aca="false">IF(AND($A28+(24)&gt;=1,$A28+(24)&lt;=$B$8),INDEX($P$12:$P$71,$A28+(24)),"")</f>
        <v>0.900649466231489</v>
      </c>
      <c r="W28" s="25" t="n">
        <f aca="false">IF(AND($A28+(36)&gt;=1,$A28+(36)&lt;=$B$8),INDEX($P$12:$P$71,$A28+(36)),"")</f>
        <v>0.942294826369307</v>
      </c>
      <c r="X28" s="25" t="n">
        <f aca="false">IF(SUMPRODUCT(Bobot_Filter!$B$43:$H$43,ISNUMBER(Q28:W28)*1)&gt;0,SUMPRODUCT(Bobot_Filter!$B$43:$H$43,Q28:W28)/SUMPRODUCT(Bobot_Filter!$B$43:$H$43,ISNUMBER(Q28:W28)*1),"")</f>
        <v>0.90643094692208</v>
      </c>
      <c r="Y28" s="25" t="n">
        <f aca="false">IF(AND($A28&gt;=$B$6,$A28&lt;=$B$7),SUMPRODUCT(Bobot_Filter!$B$4:$B$16,X22:X34),"")</f>
        <v>1.00113821674296</v>
      </c>
      <c r="Z28" s="33" t="n">
        <f aca="false">X28/INDEX($Y$12:$Y$71,MAX($B$6,MIN($A28,$B$7)))</f>
        <v>0.905400405022</v>
      </c>
      <c r="AA28" s="27" t="n">
        <f aca="false">C28/Z28</f>
        <v>228.628128341703</v>
      </c>
      <c r="AB28" s="27" t="n">
        <f aca="false">IF(AND($A28&gt;=$B$6,$A28&lt;=$B$7),SUMPRODUCT(Bobot_Filter!$B$20:$B$32,AA22:AA34),"")</f>
        <v>235.725409277846</v>
      </c>
      <c r="AC28" s="25" t="n">
        <f aca="false">IF(ISNUMBER(AB28),AA28/AB28,"")</f>
        <v>0.969891744136173</v>
      </c>
      <c r="AD28" s="27" t="n">
        <f aca="false">$B$4+$B$3*A28</f>
        <v>238.51637044969</v>
      </c>
      <c r="AE28" s="27" t="n">
        <f aca="false">AD28*Z28</f>
        <v>215.952818409527</v>
      </c>
      <c r="AF28" s="28" t="n">
        <f aca="false">ABS(C28-AE28)/C28</f>
        <v>0.0432503304808047</v>
      </c>
    </row>
    <row r="29" customFormat="false" ht="15" hidden="false" customHeight="false" outlineLevel="0" collapsed="false">
      <c r="A29" s="8" t="n">
        <v>18</v>
      </c>
      <c r="B29" s="22" t="n">
        <f aca="false">Data!B22</f>
        <v>44866</v>
      </c>
      <c r="C29" s="23" t="n">
        <f aca="false">Data!E22</f>
        <v>228</v>
      </c>
      <c r="D29" s="27" t="n">
        <f aca="false">IF(AND($A29&gt;=$B$6,$A29&lt;=$B$7),SUMPRODUCT(Bobot_Filter!$B$4:$B$16,C23:C35),"")</f>
        <v>242.583333333333</v>
      </c>
      <c r="E29" s="25" t="n">
        <f aca="false">IF(ISNUMBER(D29),C29/D29,"")</f>
        <v>0.939883201648918</v>
      </c>
      <c r="F29" s="25" t="str">
        <f aca="false">IF(AND($A29+(-24)&gt;=1,$A29+(-24)&lt;=$B$8),INDEX($E$12:$E$71,$A29+(-24)),"")</f>
        <v/>
      </c>
      <c r="G29" s="25" t="str">
        <f aca="false">IF(AND($A29+(-12)&gt;=1,$A29+(-12)&lt;=$B$8),INDEX($E$12:$E$71,$A29+(-12)),"")</f>
        <v/>
      </c>
      <c r="H29" s="25" t="n">
        <f aca="false">IF(AND($A29+(0)&gt;=1,$A29+(0)&lt;=$B$8),INDEX($E$12:$E$71,$A29+(0)),"")</f>
        <v>0.939883201648918</v>
      </c>
      <c r="I29" s="25" t="n">
        <f aca="false">IF(AND($A29+(12)&gt;=1,$A29+(12)&lt;=$B$8),INDEX($E$12:$E$71,$A29+(12)),"")</f>
        <v>0.923679060665362</v>
      </c>
      <c r="J29" s="25" t="n">
        <f aca="false">IF(AND($A29+(24)&gt;=1,$A29+(24)&lt;=$B$8),INDEX($E$12:$E$71,$A29+(24)),"")</f>
        <v>0.928455810942053</v>
      </c>
      <c r="K29" s="25" t="n">
        <f aca="false">IF(SUMPRODUCT(Bobot_Filter!$B$38:$F$38,ISNUMBER(F29:J29)*1)&gt;0,SUMPRODUCT(Bobot_Filter!$B$38:$F$38,F29:J29)/SUMPRODUCT(Bobot_Filter!$B$38:$F$38,ISNUMBER(F29:J29)*1),"")</f>
        <v>0.932577256203255</v>
      </c>
      <c r="L29" s="25" t="n">
        <f aca="false">IF(AND($A29&gt;=$B$6,$A29&lt;=$B$7),SUMPRODUCT(Bobot_Filter!$B$4:$B$16,K23:K35),"")</f>
        <v>0.99902016147701</v>
      </c>
      <c r="M29" s="25" t="n">
        <f aca="false">K29/INDEX($L$12:$L$71,MAX($B$6,MIN($A29,$B$7)))</f>
        <v>0.933491927554773</v>
      </c>
      <c r="N29" s="27" t="n">
        <f aca="false">C29/M29</f>
        <v>244.244211727928</v>
      </c>
      <c r="O29" s="27" t="n">
        <f aca="false">IF(AND($A29&gt;=$B$6,$A29&lt;=$B$7),SUMPRODUCT(Bobot_Filter!$B$20:$B$32,N23:N35),"")</f>
        <v>239.412752514352</v>
      </c>
      <c r="P29" s="25" t="n">
        <f aca="false">IF(ISNUMBER(O29),C29/O29,"")</f>
        <v>0.952330223037439</v>
      </c>
      <c r="Q29" s="25" t="str">
        <f aca="false">IF(AND($A29+(-36)&gt;=1,$A29+(-36)&lt;=$B$8),INDEX($P$12:$P$71,$A29+(-36)),"")</f>
        <v/>
      </c>
      <c r="R29" s="25" t="str">
        <f aca="false">IF(AND($A29+(-24)&gt;=1,$A29+(-24)&lt;=$B$8),INDEX($P$12:$P$71,$A29+(-24)),"")</f>
        <v/>
      </c>
      <c r="S29" s="25" t="str">
        <f aca="false">IF(AND($A29+(-12)&gt;=1,$A29+(-12)&lt;=$B$8),INDEX($P$12:$P$71,$A29+(-12)),"")</f>
        <v/>
      </c>
      <c r="T29" s="25" t="n">
        <f aca="false">IF(AND($A29+(0)&gt;=1,$A29+(0)&lt;=$B$8),INDEX($P$12:$P$71,$A29+(0)),"")</f>
        <v>0.952330223037439</v>
      </c>
      <c r="U29" s="25" t="n">
        <f aca="false">IF(AND($A29+(12)&gt;=1,$A29+(12)&lt;=$B$8),INDEX($P$12:$P$71,$A29+(12)),"")</f>
        <v>0.914751655529918</v>
      </c>
      <c r="V29" s="25" t="n">
        <f aca="false">IF(AND($A29+(24)&gt;=1,$A29+(24)&lt;=$B$8),INDEX($P$12:$P$71,$A29+(24)),"")</f>
        <v>0.938042368636044</v>
      </c>
      <c r="W29" s="25" t="n">
        <f aca="false">IF(AND($A29+(36)&gt;=1,$A29+(36)&lt;=$B$8),INDEX($P$12:$P$71,$A29+(36)),"")</f>
        <v>0.937411194743086</v>
      </c>
      <c r="X29" s="25" t="n">
        <f aca="false">IF(SUMPRODUCT(Bobot_Filter!$B$43:$H$43,ISNUMBER(Q29:W29)*1)&gt;0,SUMPRODUCT(Bobot_Filter!$B$43:$H$43,Q29:W29)/SUMPRODUCT(Bobot_Filter!$B$43:$H$43,ISNUMBER(Q29:W29)*1),"")</f>
        <v>0.934971285301916</v>
      </c>
      <c r="Y29" s="25" t="n">
        <f aca="false">IF(AND($A29&gt;=$B$6,$A29&lt;=$B$7),SUMPRODUCT(Bobot_Filter!$B$4:$B$16,X23:X35),"")</f>
        <v>0.999898838741795</v>
      </c>
      <c r="Z29" s="33" t="n">
        <f aca="false">X29/INDEX($Y$12:$Y$71,MAX($B$6,MIN($A29,$B$7)))</f>
        <v>0.935065877742613</v>
      </c>
      <c r="AA29" s="27" t="n">
        <f aca="false">C29/Z29</f>
        <v>243.833087515102</v>
      </c>
      <c r="AB29" s="27" t="n">
        <f aca="false">IF(AND($A29&gt;=$B$6,$A29&lt;=$B$7),SUMPRODUCT(Bobot_Filter!$B$20:$B$32,AA23:AA35),"")</f>
        <v>237.516381267938</v>
      </c>
      <c r="AC29" s="25" t="n">
        <f aca="false">IF(ISNUMBER(AB29),AA29/AB29,"")</f>
        <v>1.02659482353782</v>
      </c>
      <c r="AD29" s="27" t="n">
        <f aca="false">$B$4+$B$3*A29</f>
        <v>239.589168701589</v>
      </c>
      <c r="AE29" s="27" t="n">
        <f aca="false">AD29*Z29</f>
        <v>224.031656329575</v>
      </c>
      <c r="AF29" s="28" t="n">
        <f aca="false">ABS(C29-AE29)/C29</f>
        <v>0.0174050160983564</v>
      </c>
    </row>
    <row r="30" customFormat="false" ht="15" hidden="false" customHeight="false" outlineLevel="0" collapsed="false">
      <c r="A30" s="8" t="n">
        <v>19</v>
      </c>
      <c r="B30" s="22" t="n">
        <f aca="false">Data!B23</f>
        <v>44896</v>
      </c>
      <c r="C30" s="23" t="n">
        <f aca="false">Data!E23</f>
        <v>282</v>
      </c>
      <c r="D30" s="27" t="n">
        <f aca="false">IF(AND($A30&gt;=$B$6,$A30&lt;=$B$7),SUMPRODUCT(Bobot_Filter!$B$4:$B$16,C24:C36),"")</f>
        <v>242.375</v>
      </c>
      <c r="E30" s="25" t="n">
        <f aca="false">IF(ISNUMBER(D30),C30/D30,"")</f>
        <v>1.16348633316142</v>
      </c>
      <c r="F30" s="25" t="str">
        <f aca="false">IF(AND($A30+(-24)&gt;=1,$A30+(-24)&lt;=$B$8),INDEX($E$12:$E$71,$A30+(-24)),"")</f>
        <v/>
      </c>
      <c r="G30" s="25" t="n">
        <f aca="false">IF(AND($A30+(-12)&gt;=1,$A30+(-12)&lt;=$B$8),INDEX($E$12:$E$71,$A30+(-12)),"")</f>
        <v>1.1942008233399</v>
      </c>
      <c r="H30" s="25" t="n">
        <f aca="false">IF(AND($A30+(0)&gt;=1,$A30+(0)&lt;=$B$8),INDEX($E$12:$E$71,$A30+(0)),"")</f>
        <v>1.16348633316142</v>
      </c>
      <c r="I30" s="25" t="n">
        <f aca="false">IF(AND($A30+(12)&gt;=1,$A30+(12)&lt;=$B$8),INDEX($E$12:$E$71,$A30+(12)),"")</f>
        <v>1.12536633018561</v>
      </c>
      <c r="J30" s="25" t="n">
        <f aca="false">IF(AND($A30+(24)&gt;=1,$A30+(24)&lt;=$B$8),INDEX($E$12:$E$71,$A30+(24)),"")</f>
        <v>1.1639185257032</v>
      </c>
      <c r="K30" s="25" t="n">
        <f aca="false">IF(SUMPRODUCT(Bobot_Filter!$B$38:$F$38,ISNUMBER(F30:J30)*1)&gt;0,SUMPRODUCT(Bobot_Filter!$B$38:$F$38,F30:J30)/SUMPRODUCT(Bobot_Filter!$B$38:$F$38,ISNUMBER(F30:J30)*1),"")</f>
        <v>1.16168897902981</v>
      </c>
      <c r="L30" s="25" t="n">
        <f aca="false">IF(AND($A30&gt;=$B$6,$A30&lt;=$B$7),SUMPRODUCT(Bobot_Filter!$B$4:$B$16,K24:K36),"")</f>
        <v>0.996928762178355</v>
      </c>
      <c r="M30" s="25" t="n">
        <f aca="false">K30/INDEX($L$12:$L$71,MAX($B$6,MIN($A30,$B$7)))</f>
        <v>1.1652677935497</v>
      </c>
      <c r="N30" s="27" t="n">
        <f aca="false">C30/M30</f>
        <v>242.004457311015</v>
      </c>
      <c r="O30" s="27" t="n">
        <f aca="false">IF(AND($A30&gt;=$B$6,$A30&lt;=$B$7),SUMPRODUCT(Bobot_Filter!$B$20:$B$32,N24:N36),"")</f>
        <v>241.962452180903</v>
      </c>
      <c r="P30" s="25" t="n">
        <f aca="false">IF(ISNUMBER(O30),C30/O30,"")</f>
        <v>1.16547008619818</v>
      </c>
      <c r="Q30" s="25" t="str">
        <f aca="false">IF(AND($A30+(-36)&gt;=1,$A30+(-36)&lt;=$B$8),INDEX($P$12:$P$71,$A30+(-36)),"")</f>
        <v/>
      </c>
      <c r="R30" s="25" t="str">
        <f aca="false">IF(AND($A30+(-24)&gt;=1,$A30+(-24)&lt;=$B$8),INDEX($P$12:$P$71,$A30+(-24)),"")</f>
        <v/>
      </c>
      <c r="S30" s="25" t="n">
        <f aca="false">IF(AND($A30+(-12)&gt;=1,$A30+(-12)&lt;=$B$8),INDEX($P$12:$P$71,$A30+(-12)),"")</f>
        <v>1.19852804972037</v>
      </c>
      <c r="T30" s="25" t="n">
        <f aca="false">IF(AND($A30+(0)&gt;=1,$A30+(0)&lt;=$B$8),INDEX($P$12:$P$71,$A30+(0)),"")</f>
        <v>1.16547008619818</v>
      </c>
      <c r="U30" s="25" t="n">
        <f aca="false">IF(AND($A30+(12)&gt;=1,$A30+(12)&lt;=$B$8),INDEX($P$12:$P$71,$A30+(12)),"")</f>
        <v>1.12064344496924</v>
      </c>
      <c r="V30" s="25" t="n">
        <f aca="false">IF(AND($A30+(24)&gt;=1,$A30+(24)&lt;=$B$8),INDEX($P$12:$P$71,$A30+(24)),"")</f>
        <v>1.1623545541647</v>
      </c>
      <c r="W30" s="25" t="str">
        <f aca="false">IF(AND($A30+(36)&gt;=1,$A30+(36)&lt;=$B$8),INDEX($P$12:$P$71,$A30+(36)),"")</f>
        <v/>
      </c>
      <c r="X30" s="25" t="n">
        <f aca="false">IF(SUMPRODUCT(Bobot_Filter!$B$43:$H$43,ISNUMBER(Q30:W30)*1)&gt;0,SUMPRODUCT(Bobot_Filter!$B$43:$H$43,Q30:W30)/SUMPRODUCT(Bobot_Filter!$B$43:$H$43,ISNUMBER(Q30:W30)*1),"")</f>
        <v>1.16169398645389</v>
      </c>
      <c r="Y30" s="25" t="n">
        <f aca="false">IF(AND($A30&gt;=$B$6,$A30&lt;=$B$7),SUMPRODUCT(Bobot_Filter!$B$4:$B$16,X24:X36),"")</f>
        <v>0.999445987226902</v>
      </c>
      <c r="Z30" s="33" t="n">
        <f aca="false">X30/INDEX($Y$12:$Y$71,MAX($B$6,MIN($A30,$B$7)))</f>
        <v>1.16233793651738</v>
      </c>
      <c r="AA30" s="27" t="n">
        <f aca="false">C30/Z30</f>
        <v>242.614467910197</v>
      </c>
      <c r="AB30" s="27" t="n">
        <f aca="false">IF(AND($A30&gt;=$B$6,$A30&lt;=$B$7),SUMPRODUCT(Bobot_Filter!$B$20:$B$32,AA24:AA36),"")</f>
        <v>240.49947539553</v>
      </c>
      <c r="AC30" s="25" t="n">
        <f aca="false">IF(ISNUMBER(AB30),AA30/AB30,"")</f>
        <v>1.00879416685292</v>
      </c>
      <c r="AD30" s="27" t="n">
        <f aca="false">$B$4+$B$3*A30</f>
        <v>240.661966953489</v>
      </c>
      <c r="AE30" s="27" t="n">
        <f aca="false">AD30*Z30</f>
        <v>279.730534066931</v>
      </c>
      <c r="AF30" s="28" t="n">
        <f aca="false">ABS(C30-AE30)/C30</f>
        <v>0.00804775153570487</v>
      </c>
    </row>
    <row r="31" customFormat="false" ht="15" hidden="false" customHeight="false" outlineLevel="0" collapsed="false">
      <c r="A31" s="8" t="n">
        <v>20</v>
      </c>
      <c r="B31" s="22" t="n">
        <f aca="false">Data!B24</f>
        <v>44927</v>
      </c>
      <c r="C31" s="23" t="n">
        <f aca="false">Data!E24</f>
        <v>261</v>
      </c>
      <c r="D31" s="27" t="n">
        <f aca="false">IF(AND($A31&gt;=$B$6,$A31&lt;=$B$7),SUMPRODUCT(Bobot_Filter!$B$4:$B$16,C25:C37),"")</f>
        <v>243.458333333333</v>
      </c>
      <c r="E31" s="25" t="n">
        <f aca="false">IF(ISNUMBER(D31),C31/D31,"")</f>
        <v>1.07205202806777</v>
      </c>
      <c r="F31" s="25" t="str">
        <f aca="false">IF(AND($A31+(-24)&gt;=1,$A31+(-24)&lt;=$B$8),INDEX($E$12:$E$71,$A31+(-24)),"")</f>
        <v/>
      </c>
      <c r="G31" s="25" t="n">
        <f aca="false">IF(AND($A31+(-12)&gt;=1,$A31+(-12)&lt;=$B$8),INDEX($E$12:$E$71,$A31+(-12)),"")</f>
        <v>1.04981253347617</v>
      </c>
      <c r="H31" s="25" t="n">
        <f aca="false">IF(AND($A31+(0)&gt;=1,$A31+(0)&lt;=$B$8),INDEX($E$12:$E$71,$A31+(0)),"")</f>
        <v>1.07205202806777</v>
      </c>
      <c r="I31" s="25" t="n">
        <f aca="false">IF(AND($A31+(12)&gt;=1,$A31+(12)&lt;=$B$8),INDEX($E$12:$E$71,$A31+(12)),"")</f>
        <v>1.08379523964786</v>
      </c>
      <c r="J31" s="25" t="n">
        <f aca="false">IF(AND($A31+(24)&gt;=1,$A31+(24)&lt;=$B$8),INDEX($E$12:$E$71,$A31+(24)),"")</f>
        <v>1.07422315247142</v>
      </c>
      <c r="K31" s="25" t="n">
        <f aca="false">IF(SUMPRODUCT(Bobot_Filter!$B$38:$F$38,ISNUMBER(F31:J31)*1)&gt;0,SUMPRODUCT(Bobot_Filter!$B$38:$F$38,F31:J31)/SUMPRODUCT(Bobot_Filter!$B$38:$F$38,ISNUMBER(F31:J31)*1),"")</f>
        <v>1.06969934786535</v>
      </c>
      <c r="L31" s="25" t="n">
        <f aca="false">IF(AND($A31&gt;=$B$6,$A31&lt;=$B$7),SUMPRODUCT(Bobot_Filter!$B$4:$B$16,K25:K37),"")</f>
        <v>0.995681772424293</v>
      </c>
      <c r="M31" s="25" t="n">
        <f aca="false">K31/INDEX($L$12:$L$71,MAX($B$6,MIN($A31,$B$7)))</f>
        <v>1.07433858637468</v>
      </c>
      <c r="N31" s="27" t="n">
        <f aca="false">C31/M31</f>
        <v>242.940171106333</v>
      </c>
      <c r="O31" s="27" t="n">
        <f aca="false">IF(AND($A31&gt;=$B$6,$A31&lt;=$B$7),SUMPRODUCT(Bobot_Filter!$B$20:$B$32,N25:N37),"")</f>
        <v>244.255663408058</v>
      </c>
      <c r="P31" s="25" t="n">
        <f aca="false">IF(ISNUMBER(O31),C31/O31,"")</f>
        <v>1.06855250092592</v>
      </c>
      <c r="Q31" s="25" t="str">
        <f aca="false">IF(AND($A31+(-36)&gt;=1,$A31+(-36)&lt;=$B$8),INDEX($P$12:$P$71,$A31+(-36)),"")</f>
        <v/>
      </c>
      <c r="R31" s="25" t="str">
        <f aca="false">IF(AND($A31+(-24)&gt;=1,$A31+(-24)&lt;=$B$8),INDEX($P$12:$P$71,$A31+(-24)),"")</f>
        <v/>
      </c>
      <c r="S31" s="25" t="n">
        <f aca="false">IF(AND($A31+(-12)&gt;=1,$A31+(-12)&lt;=$B$8),INDEX($P$12:$P$71,$A31+(-12)),"")</f>
        <v>1.07604872572631</v>
      </c>
      <c r="T31" s="25" t="n">
        <f aca="false">IF(AND($A31+(0)&gt;=1,$A31+(0)&lt;=$B$8),INDEX($P$12:$P$71,$A31+(0)),"")</f>
        <v>1.06855250092592</v>
      </c>
      <c r="U31" s="25" t="n">
        <f aca="false">IF(AND($A31+(12)&gt;=1,$A31+(12)&lt;=$B$8),INDEX($P$12:$P$71,$A31+(12)),"")</f>
        <v>1.08111664274067</v>
      </c>
      <c r="V31" s="25" t="n">
        <f aca="false">IF(AND($A31+(24)&gt;=1,$A31+(24)&lt;=$B$8),INDEX($P$12:$P$71,$A31+(24)),"")</f>
        <v>1.06575287160982</v>
      </c>
      <c r="W31" s="25" t="str">
        <f aca="false">IF(AND($A31+(36)&gt;=1,$A31+(36)&lt;=$B$8),INDEX($P$12:$P$71,$A31+(36)),"")</f>
        <v/>
      </c>
      <c r="X31" s="25" t="n">
        <f aca="false">IF(SUMPRODUCT(Bobot_Filter!$B$43:$H$43,ISNUMBER(Q31:W31)*1)&gt;0,SUMPRODUCT(Bobot_Filter!$B$43:$H$43,Q31:W31)/SUMPRODUCT(Bobot_Filter!$B$43:$H$43,ISNUMBER(Q31:W31)*1),"")</f>
        <v>1.07351448649076</v>
      </c>
      <c r="Y31" s="25" t="n">
        <f aca="false">IF(AND($A31&gt;=$B$6,$A31&lt;=$B$7),SUMPRODUCT(Bobot_Filter!$B$4:$B$16,X25:X37),"")</f>
        <v>0.999116396095092</v>
      </c>
      <c r="Z31" s="33" t="n">
        <f aca="false">X31/INDEX($Y$12:$Y$71,MAX($B$6,MIN($A31,$B$7)))</f>
        <v>1.07446388697697</v>
      </c>
      <c r="AA31" s="27" t="n">
        <f aca="false">C31/Z31</f>
        <v>242.91184018695</v>
      </c>
      <c r="AB31" s="27" t="n">
        <f aca="false">IF(AND($A31&gt;=$B$6,$A31&lt;=$B$7),SUMPRODUCT(Bobot_Filter!$B$20:$B$32,AA25:AA37),"")</f>
        <v>243.411171643253</v>
      </c>
      <c r="AC31" s="25" t="n">
        <f aca="false">IF(ISNUMBER(AB31),AA31/AB31,"")</f>
        <v>0.997948609125327</v>
      </c>
      <c r="AD31" s="27" t="n">
        <f aca="false">$B$4+$B$3*A31</f>
        <v>241.734765205388</v>
      </c>
      <c r="AE31" s="27" t="n">
        <f aca="false">AD31*Z31</f>
        <v>259.735275440048</v>
      </c>
      <c r="AF31" s="28" t="n">
        <f aca="false">ABS(C31-AE31)/C31</f>
        <v>0.00484568796916611</v>
      </c>
    </row>
    <row r="32" customFormat="false" ht="15" hidden="false" customHeight="false" outlineLevel="0" collapsed="false">
      <c r="A32" s="8" t="n">
        <v>21</v>
      </c>
      <c r="B32" s="22" t="n">
        <f aca="false">Data!B25</f>
        <v>44958</v>
      </c>
      <c r="C32" s="23" t="n">
        <f aca="false">Data!E25</f>
        <v>228</v>
      </c>
      <c r="D32" s="27" t="n">
        <f aca="false">IF(AND($A32&gt;=$B$6,$A32&lt;=$B$7),SUMPRODUCT(Bobot_Filter!$B$4:$B$16,C26:C38),"")</f>
        <v>244.458333333333</v>
      </c>
      <c r="E32" s="25" t="n">
        <f aca="false">IF(ISNUMBER(D32),C32/D32,"")</f>
        <v>0.932674279870462</v>
      </c>
      <c r="F32" s="25" t="str">
        <f aca="false">IF(AND($A32+(-24)&gt;=1,$A32+(-24)&lt;=$B$8),INDEX($E$12:$E$71,$A32+(-24)),"")</f>
        <v/>
      </c>
      <c r="G32" s="25" t="n">
        <f aca="false">IF(AND($A32+(-12)&gt;=1,$A32+(-12)&lt;=$B$8),INDEX($E$12:$E$71,$A32+(-12)),"")</f>
        <v>0.765911927259761</v>
      </c>
      <c r="H32" s="25" t="n">
        <f aca="false">IF(AND($A32+(0)&gt;=1,$A32+(0)&lt;=$B$8),INDEX($E$12:$E$71,$A32+(0)),"")</f>
        <v>0.932674279870462</v>
      </c>
      <c r="I32" s="25" t="n">
        <f aca="false">IF(AND($A32+(12)&gt;=1,$A32+(12)&lt;=$B$8),INDEX($E$12:$E$71,$A32+(12)),"")</f>
        <v>0.971755102040816</v>
      </c>
      <c r="J32" s="25" t="n">
        <f aca="false">IF(AND($A32+(24)&gt;=1,$A32+(24)&lt;=$B$8),INDEX($E$12:$E$71,$A32+(24)),"")</f>
        <v>0.974268818922807</v>
      </c>
      <c r="K32" s="25" t="n">
        <f aca="false">IF(SUMPRODUCT(Bobot_Filter!$B$38:$F$38,ISNUMBER(F32:J32)*1)&gt;0,SUMPRODUCT(Bobot_Filter!$B$38:$F$38,F32:J32)/SUMPRODUCT(Bobot_Filter!$B$38:$F$38,ISNUMBER(F32:J32)*1),"")</f>
        <v>0.905953214641919</v>
      </c>
      <c r="L32" s="25" t="n">
        <f aca="false">IF(AND($A32&gt;=$B$6,$A32&lt;=$B$7),SUMPRODUCT(Bobot_Filter!$B$4:$B$16,K26:K38),"")</f>
        <v>0.994784571387342</v>
      </c>
      <c r="M32" s="25" t="n">
        <f aca="false">K32/INDEX($L$12:$L$71,MAX($B$6,MIN($A32,$B$7)))</f>
        <v>0.910702920712232</v>
      </c>
      <c r="N32" s="27" t="n">
        <f aca="false">C32/M32</f>
        <v>250.356065424374</v>
      </c>
      <c r="O32" s="27" t="n">
        <f aca="false">IF(AND($A32&gt;=$B$6,$A32&lt;=$B$7),SUMPRODUCT(Bobot_Filter!$B$20:$B$32,N26:N38),"")</f>
        <v>246.160214024123</v>
      </c>
      <c r="P32" s="25" t="n">
        <f aca="false">IF(ISNUMBER(O32),C32/O32,"")</f>
        <v>0.926226039020493</v>
      </c>
      <c r="Q32" s="25" t="str">
        <f aca="false">IF(AND($A32+(-36)&gt;=1,$A32+(-36)&lt;=$B$8),INDEX($P$12:$P$71,$A32+(-36)),"")</f>
        <v/>
      </c>
      <c r="R32" s="25" t="str">
        <f aca="false">IF(AND($A32+(-24)&gt;=1,$A32+(-24)&lt;=$B$8),INDEX($P$12:$P$71,$A32+(-24)),"")</f>
        <v/>
      </c>
      <c r="S32" s="25" t="n">
        <f aca="false">IF(AND($A32+(-12)&gt;=1,$A32+(-12)&lt;=$B$8),INDEX($P$12:$P$71,$A32+(-12)),"")</f>
        <v>0.794191857930822</v>
      </c>
      <c r="T32" s="25" t="n">
        <f aca="false">IF(AND($A32+(0)&gt;=1,$A32+(0)&lt;=$B$8),INDEX($P$12:$P$71,$A32+(0)),"")</f>
        <v>0.926226039020493</v>
      </c>
      <c r="U32" s="25" t="n">
        <f aca="false">IF(AND($A32+(12)&gt;=1,$A32+(12)&lt;=$B$8),INDEX($P$12:$P$71,$A32+(12)),"")</f>
        <v>0.969582287147829</v>
      </c>
      <c r="V32" s="25" t="n">
        <f aca="false">IF(AND($A32+(24)&gt;=1,$A32+(24)&lt;=$B$8),INDEX($P$12:$P$71,$A32+(24)),"")</f>
        <v>0.967955784643531</v>
      </c>
      <c r="W32" s="25" t="str">
        <f aca="false">IF(AND($A32+(36)&gt;=1,$A32+(36)&lt;=$B$8),INDEX($P$12:$P$71,$A32+(36)),"")</f>
        <v/>
      </c>
      <c r="X32" s="25" t="n">
        <f aca="false">IF(SUMPRODUCT(Bobot_Filter!$B$43:$H$43,ISNUMBER(Q32:W32)*1)&gt;0,SUMPRODUCT(Bobot_Filter!$B$43:$H$43,Q32:W32)/SUMPRODUCT(Bobot_Filter!$B$43:$H$43,ISNUMBER(Q32:W32)*1),"")</f>
        <v>0.909628374689499</v>
      </c>
      <c r="Y32" s="25" t="n">
        <f aca="false">IF(AND($A32&gt;=$B$6,$A32&lt;=$B$7),SUMPRODUCT(Bobot_Filter!$B$4:$B$16,X26:X38),"")</f>
        <v>0.998905181884973</v>
      </c>
      <c r="Z32" s="33" t="n">
        <f aca="false">X32/INDEX($Y$12:$Y$71,MAX($B$6,MIN($A32,$B$7)))</f>
        <v>0.910625343811907</v>
      </c>
      <c r="AA32" s="27" t="n">
        <f aca="false">C32/Z32</f>
        <v>250.377393457538</v>
      </c>
      <c r="AB32" s="27" t="n">
        <f aca="false">IF(AND($A32&gt;=$B$6,$A32&lt;=$B$7),SUMPRODUCT(Bobot_Filter!$B$20:$B$32,AA26:AA38),"")</f>
        <v>245.823084625965</v>
      </c>
      <c r="AC32" s="25" t="n">
        <f aca="false">IF(ISNUMBER(AB32),AA32/AB32,"")</f>
        <v>1.01852677440161</v>
      </c>
      <c r="AD32" s="27" t="n">
        <f aca="false">$B$4+$B$3*A32</f>
        <v>242.807563457288</v>
      </c>
      <c r="AE32" s="27" t="n">
        <f aca="false">AD32*Z32</f>
        <v>221.106720953424</v>
      </c>
      <c r="AF32" s="28" t="n">
        <f aca="false">ABS(C32-AE32)/C32</f>
        <v>0.0302336800288416</v>
      </c>
    </row>
    <row r="33" customFormat="false" ht="15" hidden="false" customHeight="false" outlineLevel="0" collapsed="false">
      <c r="A33" s="8" t="n">
        <v>22</v>
      </c>
      <c r="B33" s="22" t="n">
        <f aca="false">Data!B26</f>
        <v>44986</v>
      </c>
      <c r="C33" s="23" t="n">
        <f aca="false">Data!E26</f>
        <v>256</v>
      </c>
      <c r="D33" s="27" t="n">
        <f aca="false">IF(AND($A33&gt;=$B$6,$A33&lt;=$B$7),SUMPRODUCT(Bobot_Filter!$B$4:$B$16,C27:C39),"")</f>
        <v>246.083333333333</v>
      </c>
      <c r="E33" s="25" t="n">
        <f aca="false">IF(ISNUMBER(D33),C33/D33,"")</f>
        <v>1.04029800203183</v>
      </c>
      <c r="F33" s="25" t="str">
        <f aca="false">IF(AND($A33+(-24)&gt;=1,$A33+(-24)&lt;=$B$8),INDEX($E$12:$E$71,$A33+(-24)),"")</f>
        <v/>
      </c>
      <c r="G33" s="25" t="n">
        <f aca="false">IF(AND($A33+(-12)&gt;=1,$A33+(-12)&lt;=$B$8),INDEX($E$12:$E$71,$A33+(-12)),"")</f>
        <v>0.953670705630791</v>
      </c>
      <c r="H33" s="25" t="n">
        <f aca="false">IF(AND($A33+(0)&gt;=1,$A33+(0)&lt;=$B$8),INDEX($E$12:$E$71,$A33+(0)),"")</f>
        <v>1.04029800203183</v>
      </c>
      <c r="I33" s="25" t="n">
        <f aca="false">IF(AND($A33+(12)&gt;=1,$A33+(12)&lt;=$B$8),INDEX($E$12:$E$71,$A33+(12)),"")</f>
        <v>1.09929658105676</v>
      </c>
      <c r="J33" s="25" t="n">
        <f aca="false">IF(AND($A33+(24)&gt;=1,$A33+(24)&lt;=$B$8),INDEX($E$12:$E$71,$A33+(24)),"")</f>
        <v>1.27373242773653</v>
      </c>
      <c r="K33" s="25" t="n">
        <f aca="false">IF(SUMPRODUCT(Bobot_Filter!$B$38:$F$38,ISNUMBER(F33:J33)*1)&gt;0,SUMPRODUCT(Bobot_Filter!$B$38:$F$38,F33:J33)/SUMPRODUCT(Bobot_Filter!$B$38:$F$38,ISNUMBER(F33:J33)*1),"")</f>
        <v>1.06257012590089</v>
      </c>
      <c r="L33" s="25" t="n">
        <f aca="false">IF(AND($A33&gt;=$B$6,$A33&lt;=$B$7),SUMPRODUCT(Bobot_Filter!$B$4:$B$16,K27:K39),"")</f>
        <v>0.995181670144678</v>
      </c>
      <c r="M33" s="25" t="n">
        <f aca="false">K33/INDEX($L$12:$L$71,MAX($B$6,MIN($A33,$B$7)))</f>
        <v>1.0677147276501</v>
      </c>
      <c r="N33" s="27" t="n">
        <f aca="false">C33/M33</f>
        <v>239.764417751756</v>
      </c>
      <c r="O33" s="27" t="n">
        <f aca="false">IF(AND($A33&gt;=$B$6,$A33&lt;=$B$7),SUMPRODUCT(Bobot_Filter!$B$20:$B$32,N27:N39),"")</f>
        <v>247.380823036864</v>
      </c>
      <c r="P33" s="25" t="n">
        <f aca="false">IF(ISNUMBER(O33),C33/O33,"")</f>
        <v>1.03484173452625</v>
      </c>
      <c r="Q33" s="25" t="str">
        <f aca="false">IF(AND($A33+(-36)&gt;=1,$A33+(-36)&lt;=$B$8),INDEX($P$12:$P$71,$A33+(-36)),"")</f>
        <v/>
      </c>
      <c r="R33" s="25" t="str">
        <f aca="false">IF(AND($A33+(-24)&gt;=1,$A33+(-24)&lt;=$B$8),INDEX($P$12:$P$71,$A33+(-24)),"")</f>
        <v/>
      </c>
      <c r="S33" s="25" t="n">
        <f aca="false">IF(AND($A33+(-12)&gt;=1,$A33+(-12)&lt;=$B$8),INDEX($P$12:$P$71,$A33+(-12)),"")</f>
        <v>0.985511996240801</v>
      </c>
      <c r="T33" s="25" t="n">
        <f aca="false">IF(AND($A33+(0)&gt;=1,$A33+(0)&lt;=$B$8),INDEX($P$12:$P$71,$A33+(0)),"")</f>
        <v>1.03484173452625</v>
      </c>
      <c r="U33" s="25" t="n">
        <f aca="false">IF(AND($A33+(12)&gt;=1,$A33+(12)&lt;=$B$8),INDEX($P$12:$P$71,$A33+(12)),"")</f>
        <v>1.09552188569791</v>
      </c>
      <c r="V33" s="25" t="n">
        <f aca="false">IF(AND($A33+(24)&gt;=1,$A33+(24)&lt;=$B$8),INDEX($P$12:$P$71,$A33+(24)),"")</f>
        <v>1.27820691251731</v>
      </c>
      <c r="W33" s="25" t="str">
        <f aca="false">IF(AND($A33+(36)&gt;=1,$A33+(36)&lt;=$B$8),INDEX($P$12:$P$71,$A33+(36)),"")</f>
        <v/>
      </c>
      <c r="X33" s="25" t="n">
        <f aca="false">IF(SUMPRODUCT(Bobot_Filter!$B$43:$H$43,ISNUMBER(Q33:W33)*1)&gt;0,SUMPRODUCT(Bobot_Filter!$B$43:$H$43,Q33:W33)/SUMPRODUCT(Bobot_Filter!$B$43:$H$43,ISNUMBER(Q33:W33)*1),"")</f>
        <v>1.08218551585723</v>
      </c>
      <c r="Y33" s="25" t="n">
        <f aca="false">IF(AND($A33&gt;=$B$6,$A33&lt;=$B$7),SUMPRODUCT(Bobot_Filter!$B$4:$B$16,X27:X39),"")</f>
        <v>0.999011564269299</v>
      </c>
      <c r="Z33" s="33" t="n">
        <f aca="false">X33/INDEX($Y$12:$Y$71,MAX($B$6,MIN($A33,$B$7)))</f>
        <v>1.08325624503533</v>
      </c>
      <c r="AA33" s="27" t="n">
        <f aca="false">C33/Z33</f>
        <v>236.324508788455</v>
      </c>
      <c r="AB33" s="27" t="n">
        <f aca="false">IF(AND($A33&gt;=$B$6,$A33&lt;=$B$7),SUMPRODUCT(Bobot_Filter!$B$20:$B$32,AA27:AA39),"")</f>
        <v>247.350330012085</v>
      </c>
      <c r="AC33" s="25" t="n">
        <f aca="false">IF(ISNUMBER(AB33),AA33/AB33,"")</f>
        <v>0.955424271222558</v>
      </c>
      <c r="AD33" s="27" t="n">
        <f aca="false">$B$4+$B$3*A33</f>
        <v>243.880361709187</v>
      </c>
      <c r="AE33" s="27" t="n">
        <f aca="false">AD33*Z33</f>
        <v>264.184924862951</v>
      </c>
      <c r="AF33" s="28" t="n">
        <f aca="false">ABS(C33-AE33)/C33</f>
        <v>0.0319723627459021</v>
      </c>
    </row>
    <row r="34" customFormat="false" ht="15" hidden="false" customHeight="false" outlineLevel="0" collapsed="false">
      <c r="A34" s="8" t="n">
        <v>23</v>
      </c>
      <c r="B34" s="22" t="n">
        <f aca="false">Data!B27</f>
        <v>45017</v>
      </c>
      <c r="C34" s="23" t="n">
        <f aca="false">Data!E27</f>
        <v>311</v>
      </c>
      <c r="D34" s="27" t="n">
        <f aca="false">IF(AND($A34&gt;=$B$6,$A34&lt;=$B$7),SUMPRODUCT(Bobot_Filter!$B$4:$B$16,C28:C40),"")</f>
        <v>249</v>
      </c>
      <c r="E34" s="25" t="n">
        <f aca="false">IF(ISNUMBER(D34),C34/D34,"")</f>
        <v>1.24899598393574</v>
      </c>
      <c r="F34" s="25" t="str">
        <f aca="false">IF(AND($A34+(-24)&gt;=1,$A34+(-24)&lt;=$B$8),INDEX($E$12:$E$71,$A34+(-24)),"")</f>
        <v/>
      </c>
      <c r="G34" s="25" t="n">
        <f aca="false">IF(AND($A34+(-12)&gt;=1,$A34+(-12)&lt;=$B$8),INDEX($E$12:$E$71,$A34+(-12)),"")</f>
        <v>1.25571428571429</v>
      </c>
      <c r="H34" s="25" t="n">
        <f aca="false">IF(AND($A34+(0)&gt;=1,$A34+(0)&lt;=$B$8),INDEX($E$12:$E$71,$A34+(0)),"")</f>
        <v>1.24899598393574</v>
      </c>
      <c r="I34" s="25" t="n">
        <f aca="false">IF(AND($A34+(12)&gt;=1,$A34+(12)&lt;=$B$8),INDEX($E$12:$E$71,$A34+(12)),"")</f>
        <v>1.15505913272011</v>
      </c>
      <c r="J34" s="25" t="n">
        <f aca="false">IF(AND($A34+(24)&gt;=1,$A34+(24)&lt;=$B$8),INDEX($E$12:$E$71,$A34+(24)),"")</f>
        <v>0.993000466635558</v>
      </c>
      <c r="K34" s="25" t="n">
        <f aca="false">IF(SUMPRODUCT(Bobot_Filter!$B$38:$F$38,ISNUMBER(F34:J34)*1)&gt;0,SUMPRODUCT(Bobot_Filter!$B$38:$F$38,F34:J34)/SUMPRODUCT(Bobot_Filter!$B$38:$F$38,ISNUMBER(F34:J34)*1),"")</f>
        <v>1.19519190691395</v>
      </c>
      <c r="L34" s="25" t="n">
        <f aca="false">IF(AND($A34&gt;=$B$6,$A34&lt;=$B$7),SUMPRODUCT(Bobot_Filter!$B$4:$B$16,K28:K40),"")</f>
        <v>0.996962507488582</v>
      </c>
      <c r="M34" s="25" t="n">
        <f aca="false">K34/INDEX($L$12:$L$71,MAX($B$6,MIN($A34,$B$7)))</f>
        <v>1.19883335424992</v>
      </c>
      <c r="N34" s="27" t="n">
        <f aca="false">C34/M34</f>
        <v>259.41887493995</v>
      </c>
      <c r="O34" s="27" t="n">
        <f aca="false">IF(AND($A34&gt;=$B$6,$A34&lt;=$B$7),SUMPRODUCT(Bobot_Filter!$B$20:$B$32,N28:N40),"")</f>
        <v>248.031574818723</v>
      </c>
      <c r="P34" s="25" t="n">
        <f aca="false">IF(ISNUMBER(O34),C34/O34,"")</f>
        <v>1.25387261773949</v>
      </c>
      <c r="Q34" s="25" t="str">
        <f aca="false">IF(AND($A34+(-36)&gt;=1,$A34+(-36)&lt;=$B$8),INDEX($P$12:$P$71,$A34+(-36)),"")</f>
        <v/>
      </c>
      <c r="R34" s="25" t="str">
        <f aca="false">IF(AND($A34+(-24)&gt;=1,$A34+(-24)&lt;=$B$8),INDEX($P$12:$P$71,$A34+(-24)),"")</f>
        <v/>
      </c>
      <c r="S34" s="25" t="n">
        <f aca="false">IF(AND($A34+(-12)&gt;=1,$A34+(-12)&lt;=$B$8),INDEX($P$12:$P$71,$A34+(-12)),"")</f>
        <v>1.27508889274968</v>
      </c>
      <c r="T34" s="25" t="n">
        <f aca="false">IF(AND($A34+(0)&gt;=1,$A34+(0)&lt;=$B$8),INDEX($P$12:$P$71,$A34+(0)),"")</f>
        <v>1.25387261773949</v>
      </c>
      <c r="U34" s="25" t="n">
        <f aca="false">IF(AND($A34+(12)&gt;=1,$A34+(12)&lt;=$B$8),INDEX($P$12:$P$71,$A34+(12)),"")</f>
        <v>1.1472374888902</v>
      </c>
      <c r="V34" s="25" t="n">
        <f aca="false">IF(AND($A34+(24)&gt;=1,$A34+(24)&lt;=$B$8),INDEX($P$12:$P$71,$A34+(24)),"")</f>
        <v>1.0105368685175</v>
      </c>
      <c r="W34" s="25" t="str">
        <f aca="false">IF(AND($A34+(36)&gt;=1,$A34+(36)&lt;=$B$8),INDEX($P$12:$P$71,$A34+(36)),"")</f>
        <v/>
      </c>
      <c r="X34" s="25" t="n">
        <f aca="false">IF(SUMPRODUCT(Bobot_Filter!$B$43:$H$43,ISNUMBER(Q34:W34)*1)&gt;0,SUMPRODUCT(Bobot_Filter!$B$43:$H$43,Q34:W34)/SUMPRODUCT(Bobot_Filter!$B$43:$H$43,ISNUMBER(Q34:W34)*1),"")</f>
        <v>1.18633370319755</v>
      </c>
      <c r="Y34" s="25" t="n">
        <f aca="false">IF(AND($A34&gt;=$B$6,$A34&lt;=$B$7),SUMPRODUCT(Bobot_Filter!$B$4:$B$16,X28:X40),"")</f>
        <v>0.999321866952592</v>
      </c>
      <c r="Z34" s="33" t="n">
        <f aca="false">X34/INDEX($Y$12:$Y$71,MAX($B$6,MIN($A34,$B$7)))</f>
        <v>1.18713874120983</v>
      </c>
      <c r="AA34" s="27" t="n">
        <f aca="false">C34/Z34</f>
        <v>261.974434161804</v>
      </c>
      <c r="AB34" s="27" t="n">
        <f aca="false">IF(AND($A34&gt;=$B$6,$A34&lt;=$B$7),SUMPRODUCT(Bobot_Filter!$B$20:$B$32,AA28:AA40),"")</f>
        <v>248.184139675601</v>
      </c>
      <c r="AC34" s="25" t="n">
        <f aca="false">IF(ISNUMBER(AB34),AA34/AB34,"")</f>
        <v>1.05556476938546</v>
      </c>
      <c r="AD34" s="27" t="n">
        <f aca="false">$B$4+$B$3*A34</f>
        <v>244.953159961087</v>
      </c>
      <c r="AE34" s="27" t="n">
        <f aca="false">AD34*Z34</f>
        <v>290.793385971573</v>
      </c>
      <c r="AF34" s="28" t="n">
        <f aca="false">ABS(C34-AE34)/C34</f>
        <v>0.0649730354611792</v>
      </c>
    </row>
    <row r="35" customFormat="false" ht="15" hidden="false" customHeight="false" outlineLevel="0" collapsed="false">
      <c r="A35" s="8" t="n">
        <v>24</v>
      </c>
      <c r="B35" s="22" t="n">
        <f aca="false">Data!B28</f>
        <v>45047</v>
      </c>
      <c r="C35" s="23" t="n">
        <f aca="false">Data!E28</f>
        <v>231</v>
      </c>
      <c r="D35" s="27" t="n">
        <f aca="false">IF(AND($A35&gt;=$B$6,$A35&lt;=$B$7),SUMPRODUCT(Bobot_Filter!$B$4:$B$16,C29:C41),"")</f>
        <v>250.75</v>
      </c>
      <c r="E35" s="25" t="n">
        <f aca="false">IF(ISNUMBER(D35),C35/D35,"")</f>
        <v>0.92123629112662</v>
      </c>
      <c r="F35" s="25" t="str">
        <f aca="false">IF(AND($A35+(-24)&gt;=1,$A35+(-24)&lt;=$B$8),INDEX($E$12:$E$71,$A35+(-24)),"")</f>
        <v/>
      </c>
      <c r="G35" s="25" t="n">
        <f aca="false">IF(AND($A35+(-12)&gt;=1,$A35+(-12)&lt;=$B$8),INDEX($E$12:$E$71,$A35+(-12)),"")</f>
        <v>1.03488996242619</v>
      </c>
      <c r="H35" s="25" t="n">
        <f aca="false">IF(AND($A35+(0)&gt;=1,$A35+(0)&lt;=$B$8),INDEX($E$12:$E$71,$A35+(0)),"")</f>
        <v>0.92123629112662</v>
      </c>
      <c r="I35" s="25" t="n">
        <f aca="false">IF(AND($A35+(12)&gt;=1,$A35+(12)&lt;=$B$8),INDEX($E$12:$E$71,$A35+(12)),"")</f>
        <v>0.951785420437716</v>
      </c>
      <c r="J35" s="25" t="n">
        <f aca="false">IF(AND($A35+(24)&gt;=1,$A35+(24)&lt;=$B$8),INDEX($E$12:$E$71,$A35+(24)),"")</f>
        <v>0.894615738610216</v>
      </c>
      <c r="K35" s="25" t="n">
        <f aca="false">IF(SUMPRODUCT(Bobot_Filter!$B$38:$F$38,ISNUMBER(F35:J35)*1)&gt;0,SUMPRODUCT(Bobot_Filter!$B$38:$F$38,F35:J35)/SUMPRODUCT(Bobot_Filter!$B$38:$F$38,ISNUMBER(F35:J35)*1),"")</f>
        <v>0.953959422214737</v>
      </c>
      <c r="L35" s="25" t="n">
        <f aca="false">IF(AND($A35&gt;=$B$6,$A35&lt;=$B$7),SUMPRODUCT(Bobot_Filter!$B$4:$B$16,K29:K41),"")</f>
        <v>0.997892110780221</v>
      </c>
      <c r="M35" s="25" t="n">
        <f aca="false">K35/INDEX($L$12:$L$71,MAX($B$6,MIN($A35,$B$7)))</f>
        <v>0.955974510579972</v>
      </c>
      <c r="N35" s="27" t="n">
        <f aca="false">C35/M35</f>
        <v>241.638241860504</v>
      </c>
      <c r="O35" s="27" t="n">
        <f aca="false">IF(AND($A35&gt;=$B$6,$A35&lt;=$B$7),SUMPRODUCT(Bobot_Filter!$B$20:$B$32,N29:N41),"")</f>
        <v>249.296213732248</v>
      </c>
      <c r="P35" s="25" t="n">
        <f aca="false">IF(ISNUMBER(O35),C35/O35,"")</f>
        <v>0.926608537456975</v>
      </c>
      <c r="Q35" s="25" t="str">
        <f aca="false">IF(AND($A35+(-36)&gt;=1,$A35+(-36)&lt;=$B$8),INDEX($P$12:$P$71,$A35+(-36)),"")</f>
        <v/>
      </c>
      <c r="R35" s="25" t="str">
        <f aca="false">IF(AND($A35+(-24)&gt;=1,$A35+(-24)&lt;=$B$8),INDEX($P$12:$P$71,$A35+(-24)),"")</f>
        <v/>
      </c>
      <c r="S35" s="25" t="n">
        <f aca="false">IF(AND($A35+(-12)&gt;=1,$A35+(-12)&lt;=$B$8),INDEX($P$12:$P$71,$A35+(-12)),"")</f>
        <v>1.02919749634417</v>
      </c>
      <c r="T35" s="25" t="n">
        <f aca="false">IF(AND($A35+(0)&gt;=1,$A35+(0)&lt;=$B$8),INDEX($P$12:$P$71,$A35+(0)),"")</f>
        <v>0.926608537456975</v>
      </c>
      <c r="U35" s="25" t="n">
        <f aca="false">IF(AND($A35+(12)&gt;=1,$A35+(12)&lt;=$B$8),INDEX($P$12:$P$71,$A35+(12)),"")</f>
        <v>0.947012247366312</v>
      </c>
      <c r="V35" s="25" t="n">
        <f aca="false">IF(AND($A35+(24)&gt;=1,$A35+(24)&lt;=$B$8),INDEX($P$12:$P$71,$A35+(24)),"")</f>
        <v>0.916976624866307</v>
      </c>
      <c r="W35" s="25" t="str">
        <f aca="false">IF(AND($A35+(36)&gt;=1,$A35+(36)&lt;=$B$8),INDEX($P$12:$P$71,$A35+(36)),"")</f>
        <v/>
      </c>
      <c r="X35" s="25" t="n">
        <f aca="false">IF(SUMPRODUCT(Bobot_Filter!$B$43:$H$43,ISNUMBER(Q35:W35)*1)&gt;0,SUMPRODUCT(Bobot_Filter!$B$43:$H$43,Q35:W35)/SUMPRODUCT(Bobot_Filter!$B$43:$H$43,ISNUMBER(Q35:W35)*1),"")</f>
        <v>0.958400735748635</v>
      </c>
      <c r="Y35" s="25" t="n">
        <f aca="false">IF(AND($A35&gt;=$B$6,$A35&lt;=$B$7),SUMPRODUCT(Bobot_Filter!$B$4:$B$16,X29:X41),"")</f>
        <v>0.999456690405365</v>
      </c>
      <c r="Z35" s="33" t="n">
        <f aca="false">X35/INDEX($Y$12:$Y$71,MAX($B$6,MIN($A35,$B$7)))</f>
        <v>0.958921727123485</v>
      </c>
      <c r="AA35" s="27" t="n">
        <f aca="false">C35/Z35</f>
        <v>240.895574128808</v>
      </c>
      <c r="AB35" s="27" t="n">
        <f aca="false">IF(AND($A35&gt;=$B$6,$A35&lt;=$B$7),SUMPRODUCT(Bobot_Filter!$B$20:$B$32,AA29:AA41),"")</f>
        <v>249.718997698917</v>
      </c>
      <c r="AC35" s="25" t="n">
        <f aca="false">IF(ISNUMBER(AB35),AA35/AB35,"")</f>
        <v>0.964666590642226</v>
      </c>
      <c r="AD35" s="27" t="n">
        <f aca="false">$B$4+$B$3*A35</f>
        <v>246.025958212986</v>
      </c>
      <c r="AE35" s="27" t="n">
        <f aca="false">AD35*Z35</f>
        <v>235.919636766807</v>
      </c>
      <c r="AF35" s="28" t="n">
        <f aca="false">ABS(C35-AE35)/C35</f>
        <v>0.021297128860636</v>
      </c>
    </row>
    <row r="36" customFormat="false" ht="15" hidden="false" customHeight="false" outlineLevel="0" collapsed="false">
      <c r="A36" s="8" t="n">
        <v>25</v>
      </c>
      <c r="B36" s="22" t="n">
        <f aca="false">Data!B29</f>
        <v>45078</v>
      </c>
      <c r="C36" s="23" t="n">
        <f aca="false">Data!E29</f>
        <v>233</v>
      </c>
      <c r="D36" s="27" t="n">
        <f aca="false">IF(AND($A36&gt;=$B$6,$A36&lt;=$B$7),SUMPRODUCT(Bobot_Filter!$B$4:$B$16,C30:C42),"")</f>
        <v>251.333333333333</v>
      </c>
      <c r="E36" s="25" t="n">
        <f aca="false">IF(ISNUMBER(D36),C36/D36,"")</f>
        <v>0.927055702917772</v>
      </c>
      <c r="F36" s="25" t="str">
        <f aca="false">IF(AND($A36+(-24)&gt;=1,$A36+(-24)&lt;=$B$8),INDEX($E$12:$E$71,$A36+(-24)),"")</f>
        <v/>
      </c>
      <c r="G36" s="25" t="n">
        <f aca="false">IF(AND($A36+(-12)&gt;=1,$A36+(-12)&lt;=$B$8),INDEX($E$12:$E$71,$A36+(-12)),"")</f>
        <v>0.977841315225161</v>
      </c>
      <c r="H36" s="25" t="n">
        <f aca="false">IF(AND($A36+(0)&gt;=1,$A36+(0)&lt;=$B$8),INDEX($E$12:$E$71,$A36+(0)),"")</f>
        <v>0.927055702917772</v>
      </c>
      <c r="I36" s="25" t="n">
        <f aca="false">IF(AND($A36+(12)&gt;=1,$A36+(12)&lt;=$B$8),INDEX($E$12:$E$71,$A36+(12)),"")</f>
        <v>0.917925147734734</v>
      </c>
      <c r="J36" s="25" t="n">
        <f aca="false">IF(AND($A36+(24)&gt;=1,$A36+(24)&lt;=$B$8),INDEX($E$12:$E$71,$A36+(24)),"")</f>
        <v>0.866727107887579</v>
      </c>
      <c r="K36" s="25" t="n">
        <f aca="false">IF(SUMPRODUCT(Bobot_Filter!$B$38:$F$38,ISNUMBER(F36:J36)*1)&gt;0,SUMPRODUCT(Bobot_Filter!$B$38:$F$38,F36:J36)/SUMPRODUCT(Bobot_Filter!$B$38:$F$38,ISNUMBER(F36:J36)*1),"")</f>
        <v>0.929928392820086</v>
      </c>
      <c r="L36" s="25" t="n">
        <f aca="false">IF(AND($A36&gt;=$B$6,$A36&lt;=$B$7),SUMPRODUCT(Bobot_Filter!$B$4:$B$16,K30:K42),"")</f>
        <v>0.997606856329751</v>
      </c>
      <c r="M36" s="25" t="n">
        <f aca="false">K36/INDEX($L$12:$L$71,MAX($B$6,MIN($A36,$B$7)))</f>
        <v>0.93215918367015</v>
      </c>
      <c r="N36" s="27" t="n">
        <f aca="false">C36/M36</f>
        <v>249.957307809401</v>
      </c>
      <c r="O36" s="27" t="n">
        <f aca="false">IF(AND($A36&gt;=$B$6,$A36&lt;=$B$7),SUMPRODUCT(Bobot_Filter!$B$20:$B$32,N30:N42),"")</f>
        <v>251.538921615331</v>
      </c>
      <c r="P36" s="25" t="n">
        <f aca="false">IF(ISNUMBER(O36),C36/O36,"")</f>
        <v>0.926297999942602</v>
      </c>
      <c r="Q36" s="25" t="str">
        <f aca="false">IF(AND($A36+(-36)&gt;=1,$A36+(-36)&lt;=$B$8),INDEX($P$12:$P$71,$A36+(-36)),"")</f>
        <v/>
      </c>
      <c r="R36" s="25" t="str">
        <f aca="false">IF(AND($A36+(-24)&gt;=1,$A36+(-24)&lt;=$B$8),INDEX($P$12:$P$71,$A36+(-24)),"")</f>
        <v/>
      </c>
      <c r="S36" s="25" t="n">
        <f aca="false">IF(AND($A36+(-12)&gt;=1,$A36+(-12)&lt;=$B$8),INDEX($P$12:$P$71,$A36+(-12)),"")</f>
        <v>0.961218278209873</v>
      </c>
      <c r="T36" s="25" t="n">
        <f aca="false">IF(AND($A36+(0)&gt;=1,$A36+(0)&lt;=$B$8),INDEX($P$12:$P$71,$A36+(0)),"")</f>
        <v>0.926297999942602</v>
      </c>
      <c r="U36" s="25" t="n">
        <f aca="false">IF(AND($A36+(12)&gt;=1,$A36+(12)&lt;=$B$8),INDEX($P$12:$P$71,$A36+(12)),"")</f>
        <v>0.921178835309406</v>
      </c>
      <c r="V36" s="25" t="n">
        <f aca="false">IF(AND($A36+(24)&gt;=1,$A36+(24)&lt;=$B$8),INDEX($P$12:$P$71,$A36+(24)),"")</f>
        <v>0.889166697841952</v>
      </c>
      <c r="W36" s="25" t="str">
        <f aca="false">IF(AND($A36+(36)&gt;=1,$A36+(36)&lt;=$B$8),INDEX($P$12:$P$71,$A36+(36)),"")</f>
        <v/>
      </c>
      <c r="X36" s="25" t="n">
        <f aca="false">IF(SUMPRODUCT(Bobot_Filter!$B$43:$H$43,ISNUMBER(Q36:W36)*1)&gt;0,SUMPRODUCT(Bobot_Filter!$B$43:$H$43,Q36:W36)/SUMPRODUCT(Bobot_Filter!$B$43:$H$43,ISNUMBER(Q36:W36)*1),"")</f>
        <v>0.927674430551777</v>
      </c>
      <c r="Y36" s="25" t="n">
        <f aca="false">IF(AND($A36&gt;=$B$6,$A36&lt;=$B$7),SUMPRODUCT(Bobot_Filter!$B$4:$B$16,X30:X42),"")</f>
        <v>0.9993405445615</v>
      </c>
      <c r="Z36" s="33" t="n">
        <f aca="false">X36/INDEX($Y$12:$Y$71,MAX($B$6,MIN($A36,$B$7)))</f>
        <v>0.928286594194806</v>
      </c>
      <c r="AA36" s="27" t="n">
        <f aca="false">C36/Z36</f>
        <v>251.000069867543</v>
      </c>
      <c r="AB36" s="27" t="n">
        <f aca="false">IF(AND($A36&gt;=$B$6,$A36&lt;=$B$7),SUMPRODUCT(Bobot_Filter!$B$20:$B$32,AA30:AA42),"")</f>
        <v>252.226620690873</v>
      </c>
      <c r="AC36" s="25" t="n">
        <f aca="false">IF(ISNUMBER(AB36),AA36/AB36,"")</f>
        <v>0.995137107970722</v>
      </c>
      <c r="AD36" s="27" t="n">
        <f aca="false">$B$4+$B$3*A36</f>
        <v>247.098756464885</v>
      </c>
      <c r="AE36" s="27" t="n">
        <f aca="false">AD36*Z36</f>
        <v>229.37846306856</v>
      </c>
      <c r="AF36" s="28" t="n">
        <f aca="false">ABS(C36-AE36)/C36</f>
        <v>0.0155430769589692</v>
      </c>
    </row>
    <row r="37" customFormat="false" ht="15" hidden="false" customHeight="false" outlineLevel="0" collapsed="false">
      <c r="A37" s="8" t="n">
        <v>26</v>
      </c>
      <c r="B37" s="22" t="n">
        <f aca="false">Data!B30</f>
        <v>45108</v>
      </c>
      <c r="C37" s="23" t="n">
        <f aca="false">Data!E30</f>
        <v>266</v>
      </c>
      <c r="D37" s="27" t="n">
        <f aca="false">IF(AND($A37&gt;=$B$6,$A37&lt;=$B$7),SUMPRODUCT(Bobot_Filter!$B$4:$B$16,C31:C43),"")</f>
        <v>252.25</v>
      </c>
      <c r="E37" s="25" t="n">
        <f aca="false">IF(ISNUMBER(D37),C37/D37,"")</f>
        <v>1.05450941526264</v>
      </c>
      <c r="F37" s="25" t="str">
        <f aca="false">IF(AND($A37+(-24)&gt;=1,$A37+(-24)&lt;=$B$8),INDEX($E$12:$E$71,$A37+(-24)),"")</f>
        <v/>
      </c>
      <c r="G37" s="25" t="n">
        <f aca="false">IF(AND($A37+(-12)&gt;=1,$A37+(-12)&lt;=$B$8),INDEX($E$12:$E$71,$A37+(-12)),"")</f>
        <v>1.04700854700855</v>
      </c>
      <c r="H37" s="25" t="n">
        <f aca="false">IF(AND($A37+(0)&gt;=1,$A37+(0)&lt;=$B$8),INDEX($E$12:$E$71,$A37+(0)),"")</f>
        <v>1.05450941526264</v>
      </c>
      <c r="I37" s="25" t="n">
        <f aca="false">IF(AND($A37+(12)&gt;=1,$A37+(12)&lt;=$B$8),INDEX($E$12:$E$71,$A37+(12)),"")</f>
        <v>1.01425061425061</v>
      </c>
      <c r="J37" s="25" t="n">
        <f aca="false">IF(AND($A37+(24)&gt;=1,$A37+(24)&lt;=$B$8),INDEX($E$12:$E$71,$A37+(24)),"")</f>
        <v>0.994911703082909</v>
      </c>
      <c r="K37" s="25" t="n">
        <f aca="false">IF(SUMPRODUCT(Bobot_Filter!$B$38:$F$38,ISNUMBER(F37:J37)*1)&gt;0,SUMPRODUCT(Bobot_Filter!$B$38:$F$38,F37:J37)/SUMPRODUCT(Bobot_Filter!$B$38:$F$38,ISNUMBER(F37:J37)*1),"")</f>
        <v>1.03511978392364</v>
      </c>
      <c r="L37" s="25" t="n">
        <f aca="false">IF(AND($A37&gt;=$B$6,$A37&lt;=$B$7),SUMPRODUCT(Bobot_Filter!$B$4:$B$16,K31:K43),"")</f>
        <v>0.997438895548307</v>
      </c>
      <c r="M37" s="25" t="n">
        <f aca="false">K37/INDEX($L$12:$L$71,MAX($B$6,MIN($A37,$B$7)))</f>
        <v>1.03777764085952</v>
      </c>
      <c r="N37" s="27" t="n">
        <f aca="false">C37/M37</f>
        <v>256.316950305165</v>
      </c>
      <c r="O37" s="27" t="n">
        <f aca="false">IF(AND($A37&gt;=$B$6,$A37&lt;=$B$7),SUMPRODUCT(Bobot_Filter!$B$20:$B$32,N31:N43),"")</f>
        <v>254.127600062176</v>
      </c>
      <c r="P37" s="25" t="n">
        <f aca="false">IF(ISNUMBER(O37),C37/O37,"")</f>
        <v>1.04671826253787</v>
      </c>
      <c r="Q37" s="25" t="str">
        <f aca="false">IF(AND($A37+(-36)&gt;=1,$A37+(-36)&lt;=$B$8),INDEX($P$12:$P$71,$A37+(-36)),"")</f>
        <v/>
      </c>
      <c r="R37" s="25" t="str">
        <f aca="false">IF(AND($A37+(-24)&gt;=1,$A37+(-24)&lt;=$B$8),INDEX($P$12:$P$71,$A37+(-24)),"")</f>
        <v/>
      </c>
      <c r="S37" s="25" t="n">
        <f aca="false">IF(AND($A37+(-12)&gt;=1,$A37+(-12)&lt;=$B$8),INDEX($P$12:$P$71,$A37+(-12)),"")</f>
        <v>1.02844579819639</v>
      </c>
      <c r="T37" s="25" t="n">
        <f aca="false">IF(AND($A37+(0)&gt;=1,$A37+(0)&lt;=$B$8),INDEX($P$12:$P$71,$A37+(0)),"")</f>
        <v>1.04671826253787</v>
      </c>
      <c r="U37" s="25" t="n">
        <f aca="false">IF(AND($A37+(12)&gt;=1,$A37+(12)&lt;=$B$8),INDEX($P$12:$P$71,$A37+(12)),"")</f>
        <v>1.02519522355521</v>
      </c>
      <c r="V37" s="25" t="n">
        <f aca="false">IF(AND($A37+(24)&gt;=1,$A37+(24)&lt;=$B$8),INDEX($P$12:$P$71,$A37+(24)),"")</f>
        <v>1.00527661784622</v>
      </c>
      <c r="W37" s="25" t="str">
        <f aca="false">IF(AND($A37+(36)&gt;=1,$A37+(36)&lt;=$B$8),INDEX($P$12:$P$71,$A37+(36)),"")</f>
        <v/>
      </c>
      <c r="X37" s="25" t="n">
        <f aca="false">IF(SUMPRODUCT(Bobot_Filter!$B$43:$H$43,ISNUMBER(Q37:W37)*1)&gt;0,SUMPRODUCT(Bobot_Filter!$B$43:$H$43,Q37:W37)/SUMPRODUCT(Bobot_Filter!$B$43:$H$43,ISNUMBER(Q37:W37)*1),"")</f>
        <v>1.02833009896008</v>
      </c>
      <c r="Y37" s="25" t="n">
        <f aca="false">IF(AND($A37&gt;=$B$6,$A37&lt;=$B$7),SUMPRODUCT(Bobot_Filter!$B$4:$B$16,X31:X43),"")</f>
        <v>0.99916452429759</v>
      </c>
      <c r="Z37" s="33" t="n">
        <f aca="false">X37/INDEX($Y$12:$Y$71,MAX($B$6,MIN($A37,$B$7)))</f>
        <v>1.02918996216663</v>
      </c>
      <c r="AA37" s="27" t="n">
        <f aca="false">C37/Z37</f>
        <v>258.455688238565</v>
      </c>
      <c r="AB37" s="27" t="n">
        <f aca="false">IF(AND($A37&gt;=$B$6,$A37&lt;=$B$7),SUMPRODUCT(Bobot_Filter!$B$20:$B$32,AA31:AA43),"")</f>
        <v>254.821961373715</v>
      </c>
      <c r="AC37" s="25" t="n">
        <f aca="false">IF(ISNUMBER(AB37),AA37/AB37,"")</f>
        <v>1.01425986537919</v>
      </c>
      <c r="AD37" s="27" t="n">
        <f aca="false">$B$4+$B$3*A37</f>
        <v>248.171554716785</v>
      </c>
      <c r="AE37" s="27" t="n">
        <f aca="false">AD37*Z37</f>
        <v>255.415673009802</v>
      </c>
      <c r="AF37" s="28" t="n">
        <f aca="false">ABS(C37-AE37)/C37</f>
        <v>0.0397907029706676</v>
      </c>
    </row>
    <row r="38" customFormat="false" ht="15" hidden="false" customHeight="false" outlineLevel="0" collapsed="false">
      <c r="A38" s="8" t="n">
        <v>27</v>
      </c>
      <c r="B38" s="22" t="n">
        <f aca="false">Data!B31</f>
        <v>45139</v>
      </c>
      <c r="C38" s="23" t="n">
        <f aca="false">Data!E31</f>
        <v>226</v>
      </c>
      <c r="D38" s="27" t="n">
        <f aca="false">IF(AND($A38&gt;=$B$6,$A38&lt;=$B$7),SUMPRODUCT(Bobot_Filter!$B$4:$B$16,C32:C44),"")</f>
        <v>253.75</v>
      </c>
      <c r="E38" s="25" t="n">
        <f aca="false">IF(ISNUMBER(D38),C38/D38,"")</f>
        <v>0.89064039408867</v>
      </c>
      <c r="F38" s="25" t="str">
        <f aca="false">IF(AND($A38+(-24)&gt;=1,$A38+(-24)&lt;=$B$8),INDEX($E$12:$E$71,$A38+(-24)),"")</f>
        <v/>
      </c>
      <c r="G38" s="25" t="n">
        <f aca="false">IF(AND($A38+(-12)&gt;=1,$A38+(-12)&lt;=$B$8),INDEX($E$12:$E$71,$A38+(-12)),"")</f>
        <v>0.94208766062313</v>
      </c>
      <c r="H38" s="25" t="n">
        <f aca="false">IF(AND($A38+(0)&gt;=1,$A38+(0)&lt;=$B$8),INDEX($E$12:$E$71,$A38+(0)),"")</f>
        <v>0.89064039408867</v>
      </c>
      <c r="I38" s="25" t="n">
        <f aca="false">IF(AND($A38+(12)&gt;=1,$A38+(12)&lt;=$B$8),INDEX($E$12:$E$71,$A38+(12)),"")</f>
        <v>0.883507853403141</v>
      </c>
      <c r="J38" s="25" t="n">
        <f aca="false">IF(AND($A38+(24)&gt;=1,$A38+(24)&lt;=$B$8),INDEX($E$12:$E$71,$A38+(24)),"")</f>
        <v>0.897462531532869</v>
      </c>
      <c r="K38" s="25" t="n">
        <f aca="false">IF(SUMPRODUCT(Bobot_Filter!$B$38:$F$38,ISNUMBER(F38:J38)*1)&gt;0,SUMPRODUCT(Bobot_Filter!$B$38:$F$38,F38:J38)/SUMPRODUCT(Bobot_Filter!$B$38:$F$38,ISNUMBER(F38:J38)*1),"")</f>
        <v>0.902571842731428</v>
      </c>
      <c r="L38" s="25" t="n">
        <f aca="false">IF(AND($A38&gt;=$B$6,$A38&lt;=$B$7),SUMPRODUCT(Bobot_Filter!$B$4:$B$16,K32:K44),"")</f>
        <v>0.998915934842103</v>
      </c>
      <c r="M38" s="25" t="n">
        <f aca="false">K38/INDEX($L$12:$L$71,MAX($B$6,MIN($A38,$B$7)))</f>
        <v>0.90355135126971</v>
      </c>
      <c r="N38" s="27" t="n">
        <f aca="false">C38/M38</f>
        <v>250.124134818032</v>
      </c>
      <c r="O38" s="27" t="n">
        <f aca="false">IF(AND($A38&gt;=$B$6,$A38&lt;=$B$7),SUMPRODUCT(Bobot_Filter!$B$20:$B$32,N32:N44),"")</f>
        <v>256.301293692024</v>
      </c>
      <c r="P38" s="25" t="n">
        <f aca="false">IF(ISNUMBER(O38),C38/O38,"")</f>
        <v>0.881774714221948</v>
      </c>
      <c r="Q38" s="25" t="str">
        <f aca="false">IF(AND($A38+(-36)&gt;=1,$A38+(-36)&lt;=$B$8),INDEX($P$12:$P$71,$A38+(-36)),"")</f>
        <v/>
      </c>
      <c r="R38" s="25" t="str">
        <f aca="false">IF(AND($A38+(-24)&gt;=1,$A38+(-24)&lt;=$B$8),INDEX($P$12:$P$71,$A38+(-24)),"")</f>
        <v/>
      </c>
      <c r="S38" s="25" t="n">
        <f aca="false">IF(AND($A38+(-12)&gt;=1,$A38+(-12)&lt;=$B$8),INDEX($P$12:$P$71,$A38+(-12)),"")</f>
        <v>0.938718003678862</v>
      </c>
      <c r="T38" s="25" t="n">
        <f aca="false">IF(AND($A38+(0)&gt;=1,$A38+(0)&lt;=$B$8),INDEX($P$12:$P$71,$A38+(0)),"")</f>
        <v>0.881774714221948</v>
      </c>
      <c r="U38" s="25" t="n">
        <f aca="false">IF(AND($A38+(12)&gt;=1,$A38+(12)&lt;=$B$8),INDEX($P$12:$P$71,$A38+(12)),"")</f>
        <v>0.896070263888533</v>
      </c>
      <c r="V38" s="25" t="n">
        <f aca="false">IF(AND($A38+(24)&gt;=1,$A38+(24)&lt;=$B$8),INDEX($P$12:$P$71,$A38+(24)),"")</f>
        <v>0.889833135203484</v>
      </c>
      <c r="W38" s="25" t="str">
        <f aca="false">IF(AND($A38+(36)&gt;=1,$A38+(36)&lt;=$B$8),INDEX($P$12:$P$71,$A38+(36)),"")</f>
        <v/>
      </c>
      <c r="X38" s="25" t="n">
        <f aca="false">IF(SUMPRODUCT(Bobot_Filter!$B$43:$H$43,ISNUMBER(Q38:W38)*1)&gt;0,SUMPRODUCT(Bobot_Filter!$B$43:$H$43,Q38:W38)/SUMPRODUCT(Bobot_Filter!$B$43:$H$43,ISNUMBER(Q38:W38)*1),"")</f>
        <v>0.902668655979545</v>
      </c>
      <c r="Y38" s="25" t="n">
        <f aca="false">IF(AND($A38&gt;=$B$6,$A38&lt;=$B$7),SUMPRODUCT(Bobot_Filter!$B$4:$B$16,X32:X44),"")</f>
        <v>0.999783721542273</v>
      </c>
      <c r="Z38" s="33" t="n">
        <f aca="false">X38/INDEX($Y$12:$Y$71,MAX($B$6,MIN($A38,$B$7)))</f>
        <v>0.902863925996997</v>
      </c>
      <c r="AA38" s="27" t="n">
        <f aca="false">C38/Z38</f>
        <v>250.314575089969</v>
      </c>
      <c r="AB38" s="27" t="n">
        <f aca="false">IF(AND($A38&gt;=$B$6,$A38&lt;=$B$7),SUMPRODUCT(Bobot_Filter!$B$20:$B$32,AA32:AA44),"")</f>
        <v>256.65132294519</v>
      </c>
      <c r="AC38" s="25" t="n">
        <f aca="false">IF(ISNUMBER(AB38),AA38/AB38,"")</f>
        <v>0.975309896000133</v>
      </c>
      <c r="AD38" s="27" t="n">
        <f aca="false">$B$4+$B$3*A38</f>
        <v>249.244352968684</v>
      </c>
      <c r="AE38" s="27" t="n">
        <f aca="false">AD38*Z38</f>
        <v>225.033735053888</v>
      </c>
      <c r="AF38" s="28" t="n">
        <f aca="false">ABS(C38-AE38)/C38</f>
        <v>0.00427550861111683</v>
      </c>
    </row>
    <row r="39" customFormat="false" ht="15" hidden="false" customHeight="false" outlineLevel="0" collapsed="false">
      <c r="A39" s="8" t="n">
        <v>28</v>
      </c>
      <c r="B39" s="22" t="n">
        <f aca="false">Data!B32</f>
        <v>45170</v>
      </c>
      <c r="C39" s="23" t="n">
        <f aca="false">Data!E32</f>
        <v>242</v>
      </c>
      <c r="D39" s="27" t="n">
        <f aca="false">IF(AND($A39&gt;=$B$6,$A39&lt;=$B$7),SUMPRODUCT(Bobot_Filter!$B$4:$B$16,C33:C45),"")</f>
        <v>255.583333333333</v>
      </c>
      <c r="E39" s="25" t="n">
        <f aca="false">IF(ISNUMBER(D39),C39/D39,"")</f>
        <v>0.946853602869254</v>
      </c>
      <c r="F39" s="25" t="str">
        <f aca="false">IF(AND($A39+(-24)&gt;=1,$A39+(-24)&lt;=$B$8),INDEX($E$12:$E$71,$A39+(-24)),"")</f>
        <v/>
      </c>
      <c r="G39" s="25" t="n">
        <f aca="false">IF(AND($A39+(-12)&gt;=1,$A39+(-12)&lt;=$B$8),INDEX($E$12:$E$71,$A39+(-12)),"")</f>
        <v>0.857886517438834</v>
      </c>
      <c r="H39" s="25" t="n">
        <f aca="false">IF(AND($A39+(0)&gt;=1,$A39+(0)&lt;=$B$8),INDEX($E$12:$E$71,$A39+(0)),"")</f>
        <v>0.946853602869254</v>
      </c>
      <c r="I39" s="25" t="n">
        <f aca="false">IF(AND($A39+(12)&gt;=1,$A39+(12)&lt;=$B$8),INDEX($E$12:$E$71,$A39+(12)),"")</f>
        <v>0.897959183673469</v>
      </c>
      <c r="J39" s="25" t="n">
        <f aca="false">IF(AND($A39+(24)&gt;=1,$A39+(24)&lt;=$B$8),INDEX($E$12:$E$71,$A39+(24)),"")</f>
        <v>0.978586095629217</v>
      </c>
      <c r="K39" s="25" t="n">
        <f aca="false">IF(SUMPRODUCT(Bobot_Filter!$B$38:$F$38,ISNUMBER(F39:J39)*1)&gt;0,SUMPRODUCT(Bobot_Filter!$B$38:$F$38,F39:J39)/SUMPRODUCT(Bobot_Filter!$B$38:$F$38,ISNUMBER(F39:J39)*1),"")</f>
        <v>0.916354788307698</v>
      </c>
      <c r="L39" s="25" t="n">
        <f aca="false">IF(AND($A39&gt;=$B$6,$A39&lt;=$B$7),SUMPRODUCT(Bobot_Filter!$B$4:$B$16,K33:K45),"")</f>
        <v>1.00217894533671</v>
      </c>
      <c r="M39" s="25" t="n">
        <f aca="false">K39/INDEX($L$12:$L$71,MAX($B$6,MIN($A39,$B$7)))</f>
        <v>0.914362442527492</v>
      </c>
      <c r="N39" s="27" t="n">
        <f aca="false">C39/M39</f>
        <v>264.665288888136</v>
      </c>
      <c r="O39" s="27" t="n">
        <f aca="false">IF(AND($A39&gt;=$B$6,$A39&lt;=$B$7),SUMPRODUCT(Bobot_Filter!$B$20:$B$32,N33:N45),"")</f>
        <v>257.756452502131</v>
      </c>
      <c r="P39" s="25" t="n">
        <f aca="false">IF(ISNUMBER(O39),C39/O39,"")</f>
        <v>0.938870773751043</v>
      </c>
      <c r="Q39" s="25" t="str">
        <f aca="false">IF(AND($A39+(-36)&gt;=1,$A39+(-36)&lt;=$B$8),INDEX($P$12:$P$71,$A39+(-36)),"")</f>
        <v/>
      </c>
      <c r="R39" s="25" t="str">
        <f aca="false">IF(AND($A39+(-24)&gt;=1,$A39+(-24)&lt;=$B$8),INDEX($P$12:$P$71,$A39+(-24)),"")</f>
        <v/>
      </c>
      <c r="S39" s="25" t="n">
        <f aca="false">IF(AND($A39+(-12)&gt;=1,$A39+(-12)&lt;=$B$8),INDEX($P$12:$P$71,$A39+(-12)),"")</f>
        <v>0.869445103412822</v>
      </c>
      <c r="T39" s="25" t="n">
        <f aca="false">IF(AND($A39+(0)&gt;=1,$A39+(0)&lt;=$B$8),INDEX($P$12:$P$71,$A39+(0)),"")</f>
        <v>0.938870773751043</v>
      </c>
      <c r="U39" s="25" t="n">
        <f aca="false">IF(AND($A39+(12)&gt;=1,$A39+(12)&lt;=$B$8),INDEX($P$12:$P$71,$A39+(12)),"")</f>
        <v>0.920866963360894</v>
      </c>
      <c r="V39" s="25" t="n">
        <f aca="false">IF(AND($A39+(24)&gt;=1,$A39+(24)&lt;=$B$8),INDEX($P$12:$P$71,$A39+(24)),"")</f>
        <v>0.958871147553512</v>
      </c>
      <c r="W39" s="25" t="str">
        <f aca="false">IF(AND($A39+(36)&gt;=1,$A39+(36)&lt;=$B$8),INDEX($P$12:$P$71,$A39+(36)),"")</f>
        <v/>
      </c>
      <c r="X39" s="25" t="n">
        <f aca="false">IF(SUMPRODUCT(Bobot_Filter!$B$43:$H$43,ISNUMBER(Q39:W39)*1)&gt;0,SUMPRODUCT(Bobot_Filter!$B$43:$H$43,Q39:W39)/SUMPRODUCT(Bobot_Filter!$B$43:$H$43,ISNUMBER(Q39:W39)*1),"")</f>
        <v>0.918662801516482</v>
      </c>
      <c r="Y39" s="25" t="n">
        <f aca="false">IF(AND($A39&gt;=$B$6,$A39&lt;=$B$7),SUMPRODUCT(Bobot_Filter!$B$4:$B$16,X33:X45),"")</f>
        <v>1.00155061109905</v>
      </c>
      <c r="Z39" s="33" t="n">
        <f aca="false">X39/INDEX($Y$12:$Y$71,MAX($B$6,MIN($A39,$B$7)))</f>
        <v>0.917240518188481</v>
      </c>
      <c r="AA39" s="27" t="n">
        <f aca="false">C39/Z39</f>
        <v>263.834834158811</v>
      </c>
      <c r="AB39" s="27" t="n">
        <f aca="false">IF(AND($A39&gt;=$B$6,$A39&lt;=$B$7),SUMPRODUCT(Bobot_Filter!$B$20:$B$32,AA33:AA45),"")</f>
        <v>257.666065478685</v>
      </c>
      <c r="AC39" s="25" t="n">
        <f aca="false">IF(ISNUMBER(AB39),AA39/AB39,"")</f>
        <v>1.02394094336275</v>
      </c>
      <c r="AD39" s="27" t="n">
        <f aca="false">$B$4+$B$3*A39</f>
        <v>250.317151220584</v>
      </c>
      <c r="AE39" s="27" t="n">
        <f aca="false">AD39*Z39</f>
        <v>229.601033497032</v>
      </c>
      <c r="AF39" s="28" t="n">
        <f aca="false">ABS(C39-AE39)/C39</f>
        <v>0.0512353987725931</v>
      </c>
    </row>
    <row r="40" customFormat="false" ht="15" hidden="false" customHeight="false" outlineLevel="0" collapsed="false">
      <c r="A40" s="8" t="n">
        <v>29</v>
      </c>
      <c r="B40" s="22" t="n">
        <f aca="false">Data!B33</f>
        <v>45200</v>
      </c>
      <c r="C40" s="23" t="n">
        <f aca="false">Data!E33</f>
        <v>241</v>
      </c>
      <c r="D40" s="27" t="n">
        <f aca="false">IF(AND($A40&gt;=$B$6,$A40&lt;=$B$7),SUMPRODUCT(Bobot_Filter!$B$4:$B$16,C34:C46),"")</f>
        <v>255.833333333333</v>
      </c>
      <c r="E40" s="25" t="n">
        <f aca="false">IF(ISNUMBER(D40),C40/D40,"")</f>
        <v>0.942019543973941</v>
      </c>
      <c r="F40" s="25" t="str">
        <f aca="false">IF(AND($A40+(-24)&gt;=1,$A40+(-24)&lt;=$B$8),INDEX($E$12:$E$71,$A40+(-24)),"")</f>
        <v/>
      </c>
      <c r="G40" s="25" t="n">
        <f aca="false">IF(AND($A40+(-12)&gt;=1,$A40+(-12)&lt;=$B$8),INDEX($E$12:$E$71,$A40+(-12)),"")</f>
        <v>0.854489164086687</v>
      </c>
      <c r="H40" s="25" t="n">
        <f aca="false">IF(AND($A40+(0)&gt;=1,$A40+(0)&lt;=$B$8),INDEX($E$12:$E$71,$A40+(0)),"")</f>
        <v>0.942019543973941</v>
      </c>
      <c r="I40" s="25" t="n">
        <f aca="false">IF(AND($A40+(12)&gt;=1,$A40+(12)&lt;=$B$8),INDEX($E$12:$E$71,$A40+(12)),"")</f>
        <v>0.878284700951153</v>
      </c>
      <c r="J40" s="25" t="n">
        <f aca="false">IF(AND($A40+(24)&gt;=1,$A40+(24)&lt;=$B$8),INDEX($E$12:$E$71,$A40+(24)),"")</f>
        <v>0.974299065420561</v>
      </c>
      <c r="K40" s="25" t="n">
        <f aca="false">IF(SUMPRODUCT(Bobot_Filter!$B$38:$F$38,ISNUMBER(F40:J40)*1)&gt;0,SUMPRODUCT(Bobot_Filter!$B$38:$F$38,F40:J40)/SUMPRODUCT(Bobot_Filter!$B$38:$F$38,ISNUMBER(F40:J40)*1),"")</f>
        <v>0.908238178427258</v>
      </c>
      <c r="L40" s="25" t="n">
        <f aca="false">IF(AND($A40&gt;=$B$6,$A40&lt;=$B$7),SUMPRODUCT(Bobot_Filter!$B$4:$B$16,K34:K46),"")</f>
        <v>1.00229566216398</v>
      </c>
      <c r="M40" s="25" t="n">
        <f aca="false">K40/INDEX($L$12:$L$71,MAX($B$6,MIN($A40,$B$7)))</f>
        <v>0.906157945916229</v>
      </c>
      <c r="N40" s="27" t="n">
        <f aca="false">C40/M40</f>
        <v>265.958049682301</v>
      </c>
      <c r="O40" s="27" t="n">
        <f aca="false">IF(AND($A40&gt;=$B$6,$A40&lt;=$B$7),SUMPRODUCT(Bobot_Filter!$B$20:$B$32,N34:N46),"")</f>
        <v>258.276018713163</v>
      </c>
      <c r="P40" s="25" t="n">
        <f aca="false">IF(ISNUMBER(O40),C40/O40,"")</f>
        <v>0.933110248488267</v>
      </c>
      <c r="Q40" s="25" t="str">
        <f aca="false">IF(AND($A40+(-36)&gt;=1,$A40+(-36)&lt;=$B$8),INDEX($P$12:$P$71,$A40+(-36)),"")</f>
        <v/>
      </c>
      <c r="R40" s="25" t="str">
        <f aca="false">IF(AND($A40+(-24)&gt;=1,$A40+(-24)&lt;=$B$8),INDEX($P$12:$P$71,$A40+(-24)),"")</f>
        <v/>
      </c>
      <c r="S40" s="25" t="n">
        <f aca="false">IF(AND($A40+(-12)&gt;=1,$A40+(-12)&lt;=$B$8),INDEX($P$12:$P$71,$A40+(-12)),"")</f>
        <v>0.871651339333878</v>
      </c>
      <c r="T40" s="25" t="n">
        <f aca="false">IF(AND($A40+(0)&gt;=1,$A40+(0)&lt;=$B$8),INDEX($P$12:$P$71,$A40+(0)),"")</f>
        <v>0.933110248488267</v>
      </c>
      <c r="U40" s="25" t="n">
        <f aca="false">IF(AND($A40+(12)&gt;=1,$A40+(12)&lt;=$B$8),INDEX($P$12:$P$71,$A40+(12)),"")</f>
        <v>0.900649466231489</v>
      </c>
      <c r="V40" s="25" t="n">
        <f aca="false">IF(AND($A40+(24)&gt;=1,$A40+(24)&lt;=$B$8),INDEX($P$12:$P$71,$A40+(24)),"")</f>
        <v>0.942294826369307</v>
      </c>
      <c r="W40" s="25" t="str">
        <f aca="false">IF(AND($A40+(36)&gt;=1,$A40+(36)&lt;=$B$8),INDEX($P$12:$P$71,$A40+(36)),"")</f>
        <v/>
      </c>
      <c r="X40" s="25" t="n">
        <f aca="false">IF(SUMPRODUCT(Bobot_Filter!$B$43:$H$43,ISNUMBER(Q40:W40)*1)&gt;0,SUMPRODUCT(Bobot_Filter!$B$43:$H$43,Q40:W40)/SUMPRODUCT(Bobot_Filter!$B$43:$H$43,ISNUMBER(Q40:W40)*1),"")</f>
        <v>0.909165710445411</v>
      </c>
      <c r="Y40" s="25" t="n">
        <f aca="false">IF(AND($A40&gt;=$B$6,$A40&lt;=$B$7),SUMPRODUCT(Bobot_Filter!$B$4:$B$16,X34:X46),"")</f>
        <v>1.00165721296285</v>
      </c>
      <c r="Z40" s="33" t="n">
        <f aca="false">X40/INDEX($Y$12:$Y$71,MAX($B$6,MIN($A40,$B$7)))</f>
        <v>0.90766152200526</v>
      </c>
      <c r="AA40" s="27" t="n">
        <f aca="false">C40/Z40</f>
        <v>265.517479982591</v>
      </c>
      <c r="AB40" s="27" t="n">
        <f aca="false">IF(AND($A40&gt;=$B$6,$A40&lt;=$B$7),SUMPRODUCT(Bobot_Filter!$B$20:$B$32,AA34:AA46),"")</f>
        <v>258.016761303491</v>
      </c>
      <c r="AC40" s="25" t="n">
        <f aca="false">IF(ISNUMBER(AB40),AA40/AB40,"")</f>
        <v>1.02907066440648</v>
      </c>
      <c r="AD40" s="27" t="n">
        <f aca="false">$B$4+$B$3*A40</f>
        <v>251.389949472483</v>
      </c>
      <c r="AE40" s="27" t="n">
        <f aca="false">AD40*Z40</f>
        <v>228.176984155019</v>
      </c>
      <c r="AF40" s="28" t="n">
        <f aca="false">ABS(C40-AE40)/C40</f>
        <v>0.0532075346264758</v>
      </c>
    </row>
    <row r="41" customFormat="false" ht="15" hidden="false" customHeight="false" outlineLevel="0" collapsed="false">
      <c r="A41" s="8" t="n">
        <v>30</v>
      </c>
      <c r="B41" s="22" t="n">
        <f aca="false">Data!B34</f>
        <v>45231</v>
      </c>
      <c r="C41" s="23" t="n">
        <f aca="false">Data!E34</f>
        <v>236</v>
      </c>
      <c r="D41" s="27" t="n">
        <f aca="false">IF(AND($A41&gt;=$B$6,$A41&lt;=$B$7),SUMPRODUCT(Bobot_Filter!$B$4:$B$16,C35:C47),"")</f>
        <v>255.5</v>
      </c>
      <c r="E41" s="25" t="n">
        <f aca="false">IF(ISNUMBER(D41),C41/D41,"")</f>
        <v>0.923679060665362</v>
      </c>
      <c r="F41" s="25" t="str">
        <f aca="false">IF(AND($A41+(-24)&gt;=1,$A41+(-24)&lt;=$B$8),INDEX($E$12:$E$71,$A41+(-24)),"")</f>
        <v/>
      </c>
      <c r="G41" s="25" t="n">
        <f aca="false">IF(AND($A41+(-12)&gt;=1,$A41+(-12)&lt;=$B$8),INDEX($E$12:$E$71,$A41+(-12)),"")</f>
        <v>0.939883201648918</v>
      </c>
      <c r="H41" s="25" t="n">
        <f aca="false">IF(AND($A41+(0)&gt;=1,$A41+(0)&lt;=$B$8),INDEX($E$12:$E$71,$A41+(0)),"")</f>
        <v>0.923679060665362</v>
      </c>
      <c r="I41" s="25" t="n">
        <f aca="false">IF(AND($A41+(12)&gt;=1,$A41+(12)&lt;=$B$8),INDEX($E$12:$E$71,$A41+(12)),"")</f>
        <v>0.928455810942053</v>
      </c>
      <c r="J41" s="25" t="n">
        <f aca="false">IF(AND($A41+(24)&gt;=1,$A41+(24)&lt;=$B$8),INDEX($E$12:$E$71,$A41+(24)),"")</f>
        <v>0.966536288570187</v>
      </c>
      <c r="K41" s="25" t="n">
        <f aca="false">IF(SUMPRODUCT(Bobot_Filter!$B$38:$F$38,ISNUMBER(F41:J41)*1)&gt;0,SUMPRODUCT(Bobot_Filter!$B$38:$F$38,F41:J41)/SUMPRODUCT(Bobot_Filter!$B$38:$F$38,ISNUMBER(F41:J41)*1),"")</f>
        <v>0.934281436968527</v>
      </c>
      <c r="L41" s="25" t="n">
        <f aca="false">IF(AND($A41&gt;=$B$6,$A41&lt;=$B$7),SUMPRODUCT(Bobot_Filter!$B$4:$B$16,K35:K47),"")</f>
        <v>0.999866621722317</v>
      </c>
      <c r="M41" s="25" t="n">
        <f aca="false">K41/INDEX($L$12:$L$71,MAX($B$6,MIN($A41,$B$7)))</f>
        <v>0.934406066440325</v>
      </c>
      <c r="N41" s="27" t="n">
        <f aca="false">C41/M41</f>
        <v>252.566853401387</v>
      </c>
      <c r="O41" s="27" t="n">
        <f aca="false">IF(AND($A41&gt;=$B$6,$A41&lt;=$B$7),SUMPRODUCT(Bobot_Filter!$B$20:$B$32,N35:N47),"")</f>
        <v>257.993520507251</v>
      </c>
      <c r="P41" s="25" t="n">
        <f aca="false">IF(ISNUMBER(O41),C41/O41,"")</f>
        <v>0.914751655529918</v>
      </c>
      <c r="Q41" s="25" t="str">
        <f aca="false">IF(AND($A41+(-36)&gt;=1,$A41+(-36)&lt;=$B$8),INDEX($P$12:$P$71,$A41+(-36)),"")</f>
        <v/>
      </c>
      <c r="R41" s="25" t="str">
        <f aca="false">IF(AND($A41+(-24)&gt;=1,$A41+(-24)&lt;=$B$8),INDEX($P$12:$P$71,$A41+(-24)),"")</f>
        <v/>
      </c>
      <c r="S41" s="25" t="n">
        <f aca="false">IF(AND($A41+(-12)&gt;=1,$A41+(-12)&lt;=$B$8),INDEX($P$12:$P$71,$A41+(-12)),"")</f>
        <v>0.952330223037439</v>
      </c>
      <c r="T41" s="25" t="n">
        <f aca="false">IF(AND($A41+(0)&gt;=1,$A41+(0)&lt;=$B$8),INDEX($P$12:$P$71,$A41+(0)),"")</f>
        <v>0.914751655529918</v>
      </c>
      <c r="U41" s="25" t="n">
        <f aca="false">IF(AND($A41+(12)&gt;=1,$A41+(12)&lt;=$B$8),INDEX($P$12:$P$71,$A41+(12)),"")</f>
        <v>0.938042368636044</v>
      </c>
      <c r="V41" s="25" t="n">
        <f aca="false">IF(AND($A41+(24)&gt;=1,$A41+(24)&lt;=$B$8),INDEX($P$12:$P$71,$A41+(24)),"")</f>
        <v>0.937411194743086</v>
      </c>
      <c r="W41" s="25" t="str">
        <f aca="false">IF(AND($A41+(36)&gt;=1,$A41+(36)&lt;=$B$8),INDEX($P$12:$P$71,$A41+(36)),"")</f>
        <v/>
      </c>
      <c r="X41" s="25" t="n">
        <f aca="false">IF(SUMPRODUCT(Bobot_Filter!$B$43:$H$43,ISNUMBER(Q41:W41)*1)&gt;0,SUMPRODUCT(Bobot_Filter!$B$43:$H$43,Q41:W41)/SUMPRODUCT(Bobot_Filter!$B$43:$H$43,ISNUMBER(Q41:W41)*1),"")</f>
        <v>0.935472284645125</v>
      </c>
      <c r="Y41" s="25" t="n">
        <f aca="false">IF(AND($A41&gt;=$B$6,$A41&lt;=$B$7),SUMPRODUCT(Bobot_Filter!$B$4:$B$16,X35:X47),"")</f>
        <v>1.00023004290335</v>
      </c>
      <c r="Z41" s="33" t="n">
        <f aca="false">X41/INDEX($Y$12:$Y$71,MAX($B$6,MIN($A41,$B$7)))</f>
        <v>0.935257135378327</v>
      </c>
      <c r="AA41" s="27" t="n">
        <f aca="false">C41/Z41</f>
        <v>252.337021630457</v>
      </c>
      <c r="AB41" s="27" t="n">
        <f aca="false">IF(AND($A41&gt;=$B$6,$A41&lt;=$B$7),SUMPRODUCT(Bobot_Filter!$B$20:$B$32,AA35:AA47),"")</f>
        <v>257.98110103399</v>
      </c>
      <c r="AC41" s="25" t="n">
        <f aca="false">IF(ISNUMBER(AB41),AA41/AB41,"")</f>
        <v>0.978122120647942</v>
      </c>
      <c r="AD41" s="27" t="n">
        <f aca="false">$B$4+$B$3*A41</f>
        <v>252.462747724383</v>
      </c>
      <c r="AE41" s="27" t="n">
        <f aca="false">AD41*Z41</f>
        <v>236.117586226447</v>
      </c>
      <c r="AF41" s="28" t="n">
        <f aca="false">ABS(C41-AE41)/C41</f>
        <v>0.000498246722234267</v>
      </c>
    </row>
    <row r="42" customFormat="false" ht="15" hidden="false" customHeight="false" outlineLevel="0" collapsed="false">
      <c r="A42" s="8" t="n">
        <v>31</v>
      </c>
      <c r="B42" s="22" t="n">
        <f aca="false">Data!B35</f>
        <v>45261</v>
      </c>
      <c r="C42" s="23" t="n">
        <f aca="false">Data!E35</f>
        <v>288</v>
      </c>
      <c r="D42" s="27" t="n">
        <f aca="false">IF(AND($A42&gt;=$B$6,$A42&lt;=$B$7),SUMPRODUCT(Bobot_Filter!$B$4:$B$16,C36:C48),"")</f>
        <v>255.916666666667</v>
      </c>
      <c r="E42" s="25" t="n">
        <f aca="false">IF(ISNUMBER(D42),C42/D42,"")</f>
        <v>1.12536633018561</v>
      </c>
      <c r="F42" s="25" t="n">
        <f aca="false">IF(AND($A42+(-24)&gt;=1,$A42+(-24)&lt;=$B$8),INDEX($E$12:$E$71,$A42+(-24)),"")</f>
        <v>1.1942008233399</v>
      </c>
      <c r="G42" s="25" t="n">
        <f aca="false">IF(AND($A42+(-12)&gt;=1,$A42+(-12)&lt;=$B$8),INDEX($E$12:$E$71,$A42+(-12)),"")</f>
        <v>1.16348633316142</v>
      </c>
      <c r="H42" s="25" t="n">
        <f aca="false">IF(AND($A42+(0)&gt;=1,$A42+(0)&lt;=$B$8),INDEX($E$12:$E$71,$A42+(0)),"")</f>
        <v>1.12536633018561</v>
      </c>
      <c r="I42" s="25" t="n">
        <f aca="false">IF(AND($A42+(12)&gt;=1,$A42+(12)&lt;=$B$8),INDEX($E$12:$E$71,$A42+(12)),"")</f>
        <v>1.1639185257032</v>
      </c>
      <c r="J42" s="25" t="str">
        <f aca="false">IF(AND($A42+(24)&gt;=1,$A42+(24)&lt;=$B$8),INDEX($E$12:$E$71,$A42+(24)),"")</f>
        <v/>
      </c>
      <c r="K42" s="25" t="n">
        <f aca="false">IF(SUMPRODUCT(Bobot_Filter!$B$38:$F$38,ISNUMBER(F42:J42)*1)&gt;0,SUMPRODUCT(Bobot_Filter!$B$38:$F$38,F42:J42)/SUMPRODUCT(Bobot_Filter!$B$38:$F$38,ISNUMBER(F42:J42)*1),"")</f>
        <v>1.15313869145325</v>
      </c>
      <c r="L42" s="25" t="n">
        <f aca="false">IF(AND($A42&gt;=$B$6,$A42&lt;=$B$7),SUMPRODUCT(Bobot_Filter!$B$4:$B$16,K36:K48),"")</f>
        <v>0.998668862050309</v>
      </c>
      <c r="M42" s="25" t="n">
        <f aca="false">K42/INDEX($L$12:$L$71,MAX($B$6,MIN($A42,$B$7)))</f>
        <v>1.15467572412922</v>
      </c>
      <c r="N42" s="27" t="n">
        <f aca="false">C42/M42</f>
        <v>249.42067628311</v>
      </c>
      <c r="O42" s="27" t="n">
        <f aca="false">IF(AND($A42&gt;=$B$6,$A42&lt;=$B$7),SUMPRODUCT(Bobot_Filter!$B$20:$B$32,N36:N48),"")</f>
        <v>256.995212253177</v>
      </c>
      <c r="P42" s="25" t="n">
        <f aca="false">IF(ISNUMBER(O42),C42/O42,"")</f>
        <v>1.12064344496924</v>
      </c>
      <c r="Q42" s="25" t="str">
        <f aca="false">IF(AND($A42+(-36)&gt;=1,$A42+(-36)&lt;=$B$8),INDEX($P$12:$P$71,$A42+(-36)),"")</f>
        <v/>
      </c>
      <c r="R42" s="25" t="n">
        <f aca="false">IF(AND($A42+(-24)&gt;=1,$A42+(-24)&lt;=$B$8),INDEX($P$12:$P$71,$A42+(-24)),"")</f>
        <v>1.19852804972037</v>
      </c>
      <c r="S42" s="25" t="n">
        <f aca="false">IF(AND($A42+(-12)&gt;=1,$A42+(-12)&lt;=$B$8),INDEX($P$12:$P$71,$A42+(-12)),"")</f>
        <v>1.16547008619818</v>
      </c>
      <c r="T42" s="25" t="n">
        <f aca="false">IF(AND($A42+(0)&gt;=1,$A42+(0)&lt;=$B$8),INDEX($P$12:$P$71,$A42+(0)),"")</f>
        <v>1.12064344496924</v>
      </c>
      <c r="U42" s="25" t="n">
        <f aca="false">IF(AND($A42+(12)&gt;=1,$A42+(12)&lt;=$B$8),INDEX($P$12:$P$71,$A42+(12)),"")</f>
        <v>1.1623545541647</v>
      </c>
      <c r="V42" s="25" t="str">
        <f aca="false">IF(AND($A42+(24)&gt;=1,$A42+(24)&lt;=$B$8),INDEX($P$12:$P$71,$A42+(24)),"")</f>
        <v/>
      </c>
      <c r="W42" s="25" t="str">
        <f aca="false">IF(AND($A42+(36)&gt;=1,$A42+(36)&lt;=$B$8),INDEX($P$12:$P$71,$A42+(36)),"")</f>
        <v/>
      </c>
      <c r="X42" s="25" t="n">
        <f aca="false">IF(SUMPRODUCT(Bobot_Filter!$B$43:$H$43,ISNUMBER(Q42:W42)*1)&gt;0,SUMPRODUCT(Bobot_Filter!$B$43:$H$43,Q42:W42)/SUMPRODUCT(Bobot_Filter!$B$43:$H$43,ISNUMBER(Q42:W42)*1),"")</f>
        <v>1.15840548685792</v>
      </c>
      <c r="Y42" s="25" t="n">
        <f aca="false">IF(AND($A42&gt;=$B$6,$A42&lt;=$B$7),SUMPRODUCT(Bobot_Filter!$B$4:$B$16,X36:X48),"")</f>
        <v>0.99953204119181</v>
      </c>
      <c r="Z42" s="33" t="n">
        <f aca="false">X42/INDEX($Y$12:$Y$71,MAX($B$6,MIN($A42,$B$7)))</f>
        <v>1.15894782670166</v>
      </c>
      <c r="AA42" s="27" t="n">
        <f aca="false">C42/Z42</f>
        <v>248.501264133384</v>
      </c>
      <c r="AB42" s="27" t="n">
        <f aca="false">IF(AND($A42&gt;=$B$6,$A42&lt;=$B$7),SUMPRODUCT(Bobot_Filter!$B$20:$B$32,AA36:AA48),"")</f>
        <v>257.388769823813</v>
      </c>
      <c r="AC42" s="25" t="n">
        <f aca="false">IF(ISNUMBER(AB42),AA42/AB42,"")</f>
        <v>0.965470499367502</v>
      </c>
      <c r="AD42" s="27" t="n">
        <f aca="false">$B$4+$B$3*A42</f>
        <v>253.535545976282</v>
      </c>
      <c r="AE42" s="27" t="n">
        <f aca="false">AD42*Z42</f>
        <v>293.83447000083</v>
      </c>
      <c r="AF42" s="28" t="n">
        <f aca="false">ABS(C42-AE42)/C42</f>
        <v>0.0202585763917722</v>
      </c>
    </row>
    <row r="43" customFormat="false" ht="15" hidden="false" customHeight="false" outlineLevel="0" collapsed="false">
      <c r="A43" s="8" t="n">
        <v>32</v>
      </c>
      <c r="B43" s="22" t="n">
        <f aca="false">Data!B36</f>
        <v>45292</v>
      </c>
      <c r="C43" s="23" t="n">
        <f aca="false">Data!E36</f>
        <v>277</v>
      </c>
      <c r="D43" s="27" t="n">
        <f aca="false">IF(AND($A43&gt;=$B$6,$A43&lt;=$B$7),SUMPRODUCT(Bobot_Filter!$B$4:$B$16,C37:C49),"")</f>
        <v>255.583333333333</v>
      </c>
      <c r="E43" s="25" t="n">
        <f aca="false">IF(ISNUMBER(D43),C43/D43,"")</f>
        <v>1.08379523964786</v>
      </c>
      <c r="F43" s="25" t="n">
        <f aca="false">IF(AND($A43+(-24)&gt;=1,$A43+(-24)&lt;=$B$8),INDEX($E$12:$E$71,$A43+(-24)),"")</f>
        <v>1.04981253347617</v>
      </c>
      <c r="G43" s="25" t="n">
        <f aca="false">IF(AND($A43+(-12)&gt;=1,$A43+(-12)&lt;=$B$8),INDEX($E$12:$E$71,$A43+(-12)),"")</f>
        <v>1.07205202806777</v>
      </c>
      <c r="H43" s="25" t="n">
        <f aca="false">IF(AND($A43+(0)&gt;=1,$A43+(0)&lt;=$B$8),INDEX($E$12:$E$71,$A43+(0)),"")</f>
        <v>1.08379523964786</v>
      </c>
      <c r="I43" s="25" t="n">
        <f aca="false">IF(AND($A43+(12)&gt;=1,$A43+(12)&lt;=$B$8),INDEX($E$12:$E$71,$A43+(12)),"")</f>
        <v>1.07422315247142</v>
      </c>
      <c r="J43" s="25" t="str">
        <f aca="false">IF(AND($A43+(24)&gt;=1,$A43+(24)&lt;=$B$8),INDEX($E$12:$E$71,$A43+(24)),"")</f>
        <v/>
      </c>
      <c r="K43" s="25" t="n">
        <f aca="false">IF(SUMPRODUCT(Bobot_Filter!$B$38:$F$38,ISNUMBER(F43:J43)*1)&gt;0,SUMPRODUCT(Bobot_Filter!$B$38:$F$38,F43:J43)/SUMPRODUCT(Bobot_Filter!$B$38:$F$38,ISNUMBER(F43:J43)*1),"")</f>
        <v>1.07421857668727</v>
      </c>
      <c r="L43" s="25" t="n">
        <f aca="false">IF(AND($A43&gt;=$B$6,$A43&lt;=$B$7),SUMPRODUCT(Bobot_Filter!$B$4:$B$16,K37:K49),"")</f>
        <v>0.997561568261464</v>
      </c>
      <c r="M43" s="25" t="n">
        <f aca="false">K43/INDEX($L$12:$L$71,MAX($B$6,MIN($A43,$B$7)))</f>
        <v>1.07684438822097</v>
      </c>
      <c r="N43" s="27" t="n">
        <f aca="false">C43/M43</f>
        <v>257.23308124178</v>
      </c>
      <c r="O43" s="27" t="n">
        <f aca="false">IF(AND($A43&gt;=$B$6,$A43&lt;=$B$7),SUMPRODUCT(Bobot_Filter!$B$20:$B$32,N37:N49),"")</f>
        <v>256.216571874977</v>
      </c>
      <c r="P43" s="25" t="n">
        <f aca="false">IF(ISNUMBER(O43),C43/O43,"")</f>
        <v>1.08111664274067</v>
      </c>
      <c r="Q43" s="25" t="str">
        <f aca="false">IF(AND($A43+(-36)&gt;=1,$A43+(-36)&lt;=$B$8),INDEX($P$12:$P$71,$A43+(-36)),"")</f>
        <v/>
      </c>
      <c r="R43" s="25" t="n">
        <f aca="false">IF(AND($A43+(-24)&gt;=1,$A43+(-24)&lt;=$B$8),INDEX($P$12:$P$71,$A43+(-24)),"")</f>
        <v>1.07604872572631</v>
      </c>
      <c r="S43" s="25" t="n">
        <f aca="false">IF(AND($A43+(-12)&gt;=1,$A43+(-12)&lt;=$B$8),INDEX($P$12:$P$71,$A43+(-12)),"")</f>
        <v>1.06855250092592</v>
      </c>
      <c r="T43" s="25" t="n">
        <f aca="false">IF(AND($A43+(0)&gt;=1,$A43+(0)&lt;=$B$8),INDEX($P$12:$P$71,$A43+(0)),"")</f>
        <v>1.08111664274067</v>
      </c>
      <c r="U43" s="25" t="n">
        <f aca="false">IF(AND($A43+(12)&gt;=1,$A43+(12)&lt;=$B$8),INDEX($P$12:$P$71,$A43+(12)),"")</f>
        <v>1.06575287160982</v>
      </c>
      <c r="V43" s="25" t="str">
        <f aca="false">IF(AND($A43+(24)&gt;=1,$A43+(24)&lt;=$B$8),INDEX($P$12:$P$71,$A43+(24)),"")</f>
        <v/>
      </c>
      <c r="W43" s="25" t="str">
        <f aca="false">IF(AND($A43+(36)&gt;=1,$A43+(36)&lt;=$B$8),INDEX($P$12:$P$71,$A43+(36)),"")</f>
        <v/>
      </c>
      <c r="X43" s="25" t="n">
        <f aca="false">IF(SUMPRODUCT(Bobot_Filter!$B$43:$H$43,ISNUMBER(Q43:W43)*1)&gt;0,SUMPRODUCT(Bobot_Filter!$B$43:$H$43,Q43:W43)/SUMPRODUCT(Bobot_Filter!$B$43:$H$43,ISNUMBER(Q43:W43)*1),"")</f>
        <v>1.0725784997529</v>
      </c>
      <c r="Y43" s="25" t="n">
        <f aca="false">IF(AND($A43&gt;=$B$6,$A43&lt;=$B$7),SUMPRODUCT(Bobot_Filter!$B$4:$B$16,X37:X49),"")</f>
        <v>0.99917135649212</v>
      </c>
      <c r="Z43" s="33" t="n">
        <f aca="false">X43/INDEX($Y$12:$Y$71,MAX($B$6,MIN($A43,$B$7)))</f>
        <v>1.07346802206029</v>
      </c>
      <c r="AA43" s="27" t="n">
        <f aca="false">C43/Z43</f>
        <v>258.042153382788</v>
      </c>
      <c r="AB43" s="27" t="n">
        <f aca="false">IF(AND($A43&gt;=$B$6,$A43&lt;=$B$7),SUMPRODUCT(Bobot_Filter!$B$20:$B$32,AA37:AA49),"")</f>
        <v>256.953838991598</v>
      </c>
      <c r="AC43" s="25" t="n">
        <f aca="false">IF(ISNUMBER(AB43),AA43/AB43,"")</f>
        <v>1.0042354470961</v>
      </c>
      <c r="AD43" s="27" t="n">
        <f aca="false">$B$4+$B$3*A43</f>
        <v>254.608344228181</v>
      </c>
      <c r="AE43" s="27" t="n">
        <f aca="false">AD43*Z43</f>
        <v>273.313915678672</v>
      </c>
      <c r="AF43" s="28" t="n">
        <f aca="false">ABS(C43-AE43)/C43</f>
        <v>0.0133071636149009</v>
      </c>
    </row>
    <row r="44" customFormat="false" ht="15" hidden="false" customHeight="false" outlineLevel="0" collapsed="false">
      <c r="A44" s="8" t="n">
        <v>33</v>
      </c>
      <c r="B44" s="22" t="n">
        <f aca="false">Data!B37</f>
        <v>45323</v>
      </c>
      <c r="C44" s="23" t="n">
        <f aca="false">Data!E37</f>
        <v>248</v>
      </c>
      <c r="D44" s="27" t="n">
        <f aca="false">IF(AND($A44&gt;=$B$6,$A44&lt;=$B$7),SUMPRODUCT(Bobot_Filter!$B$4:$B$16,C38:C50),"")</f>
        <v>255.208333333333</v>
      </c>
      <c r="E44" s="25" t="n">
        <f aca="false">IF(ISNUMBER(D44),C44/D44,"")</f>
        <v>0.971755102040816</v>
      </c>
      <c r="F44" s="25" t="n">
        <f aca="false">IF(AND($A44+(-24)&gt;=1,$A44+(-24)&lt;=$B$8),INDEX($E$12:$E$71,$A44+(-24)),"")</f>
        <v>0.765911927259761</v>
      </c>
      <c r="G44" s="25" t="n">
        <f aca="false">IF(AND($A44+(-12)&gt;=1,$A44+(-12)&lt;=$B$8),INDEX($E$12:$E$71,$A44+(-12)),"")</f>
        <v>0.932674279870462</v>
      </c>
      <c r="H44" s="25" t="n">
        <f aca="false">IF(AND($A44+(0)&gt;=1,$A44+(0)&lt;=$B$8),INDEX($E$12:$E$71,$A44+(0)),"")</f>
        <v>0.971755102040816</v>
      </c>
      <c r="I44" s="25" t="n">
        <f aca="false">IF(AND($A44+(12)&gt;=1,$A44+(12)&lt;=$B$8),INDEX($E$12:$E$71,$A44+(12)),"")</f>
        <v>0.974268818922807</v>
      </c>
      <c r="J44" s="25" t="str">
        <f aca="false">IF(AND($A44+(24)&gt;=1,$A44+(24)&lt;=$B$8),INDEX($E$12:$E$71,$A44+(24)),"")</f>
        <v/>
      </c>
      <c r="K44" s="25" t="n">
        <f aca="false">IF(SUMPRODUCT(Bobot_Filter!$B$38:$F$38,ISNUMBER(F44:J44)*1)&gt;0,SUMPRODUCT(Bobot_Filter!$B$38:$F$38,F44:J44)/SUMPRODUCT(Bobot_Filter!$B$38:$F$38,ISNUMBER(F44:J44)*1),"")</f>
        <v>0.936882928871094</v>
      </c>
      <c r="L44" s="25" t="n">
        <f aca="false">IF(AND($A44&gt;=$B$6,$A44&lt;=$B$7),SUMPRODUCT(Bobot_Filter!$B$4:$B$16,K38:K50),"")</f>
        <v>0.996810978080665</v>
      </c>
      <c r="M44" s="25" t="n">
        <f aca="false">K44/INDEX($L$12:$L$71,MAX($B$6,MIN($A44,$B$7)))</f>
        <v>0.939880227518199</v>
      </c>
      <c r="N44" s="27" t="n">
        <f aca="false">C44/M44</f>
        <v>263.863408058766</v>
      </c>
      <c r="O44" s="27" t="n">
        <f aca="false">IF(AND($A44&gt;=$B$6,$A44&lt;=$B$7),SUMPRODUCT(Bobot_Filter!$B$20:$B$32,N38:N50),"")</f>
        <v>255.78025020396</v>
      </c>
      <c r="P44" s="25" t="n">
        <f aca="false">IF(ISNUMBER(O44),C44/O44,"")</f>
        <v>0.969582287147829</v>
      </c>
      <c r="Q44" s="25" t="str">
        <f aca="false">IF(AND($A44+(-36)&gt;=1,$A44+(-36)&lt;=$B$8),INDEX($P$12:$P$71,$A44+(-36)),"")</f>
        <v/>
      </c>
      <c r="R44" s="25" t="n">
        <f aca="false">IF(AND($A44+(-24)&gt;=1,$A44+(-24)&lt;=$B$8),INDEX($P$12:$P$71,$A44+(-24)),"")</f>
        <v>0.794191857930822</v>
      </c>
      <c r="S44" s="25" t="n">
        <f aca="false">IF(AND($A44+(-12)&gt;=1,$A44+(-12)&lt;=$B$8),INDEX($P$12:$P$71,$A44+(-12)),"")</f>
        <v>0.926226039020493</v>
      </c>
      <c r="T44" s="25" t="n">
        <f aca="false">IF(AND($A44+(0)&gt;=1,$A44+(0)&lt;=$B$8),INDEX($P$12:$P$71,$A44+(0)),"")</f>
        <v>0.969582287147829</v>
      </c>
      <c r="U44" s="25" t="n">
        <f aca="false">IF(AND($A44+(12)&gt;=1,$A44+(12)&lt;=$B$8),INDEX($P$12:$P$71,$A44+(12)),"")</f>
        <v>0.967955784643531</v>
      </c>
      <c r="V44" s="25" t="str">
        <f aca="false">IF(AND($A44+(24)&gt;=1,$A44+(24)&lt;=$B$8),INDEX($P$12:$P$71,$A44+(24)),"")</f>
        <v/>
      </c>
      <c r="W44" s="25" t="str">
        <f aca="false">IF(AND($A44+(36)&gt;=1,$A44+(36)&lt;=$B$8),INDEX($P$12:$P$71,$A44+(36)),"")</f>
        <v/>
      </c>
      <c r="X44" s="25" t="n">
        <f aca="false">IF(SUMPRODUCT(Bobot_Filter!$B$43:$H$43,ISNUMBER(Q44:W44)*1)&gt;0,SUMPRODUCT(Bobot_Filter!$B$43:$H$43,Q44:W44)/SUMPRODUCT(Bobot_Filter!$B$43:$H$43,ISNUMBER(Q44:W44)*1),"")</f>
        <v>0.925425095299746</v>
      </c>
      <c r="Y44" s="25" t="n">
        <f aca="false">IF(AND($A44&gt;=$B$6,$A44&lt;=$B$7),SUMPRODUCT(Bobot_Filter!$B$4:$B$16,X38:X50),"")</f>
        <v>0.998898424488993</v>
      </c>
      <c r="Z44" s="33" t="n">
        <f aca="false">X44/INDEX($Y$12:$Y$71,MAX($B$6,MIN($A44,$B$7)))</f>
        <v>0.926445645134706</v>
      </c>
      <c r="AA44" s="27" t="n">
        <f aca="false">C44/Z44</f>
        <v>267.689746616425</v>
      </c>
      <c r="AB44" s="27" t="n">
        <f aca="false">IF(AND($A44&gt;=$B$6,$A44&lt;=$B$7),SUMPRODUCT(Bobot_Filter!$B$20:$B$32,AA38:AA50),"")</f>
        <v>256.522740501525</v>
      </c>
      <c r="AC44" s="25" t="n">
        <f aca="false">IF(ISNUMBER(AB44),AA44/AB44,"")</f>
        <v>1.04353222678452</v>
      </c>
      <c r="AD44" s="27" t="n">
        <f aca="false">$B$4+$B$3*A44</f>
        <v>255.681142480081</v>
      </c>
      <c r="AE44" s="27" t="n">
        <f aca="false">AD44*Z44</f>
        <v>236.874680993737</v>
      </c>
      <c r="AF44" s="28" t="n">
        <f aca="false">ABS(C44-AE44)/C44</f>
        <v>0.0448601572833181</v>
      </c>
    </row>
    <row r="45" customFormat="false" ht="15" hidden="false" customHeight="false" outlineLevel="0" collapsed="false">
      <c r="A45" s="8" t="n">
        <v>34</v>
      </c>
      <c r="B45" s="22" t="n">
        <f aca="false">Data!B38</f>
        <v>45352</v>
      </c>
      <c r="C45" s="23" t="n">
        <f aca="false">Data!E38</f>
        <v>280</v>
      </c>
      <c r="D45" s="27" t="n">
        <f aca="false">IF(AND($A45&gt;=$B$6,$A45&lt;=$B$7),SUMPRODUCT(Bobot_Filter!$B$4:$B$16,C39:C51),"")</f>
        <v>254.708333333333</v>
      </c>
      <c r="E45" s="25" t="n">
        <f aca="false">IF(ISNUMBER(D45),C45/D45,"")</f>
        <v>1.09929658105676</v>
      </c>
      <c r="F45" s="25" t="n">
        <f aca="false">IF(AND($A45+(-24)&gt;=1,$A45+(-24)&lt;=$B$8),INDEX($E$12:$E$71,$A45+(-24)),"")</f>
        <v>0.953670705630791</v>
      </c>
      <c r="G45" s="25" t="n">
        <f aca="false">IF(AND($A45+(-12)&gt;=1,$A45+(-12)&lt;=$B$8),INDEX($E$12:$E$71,$A45+(-12)),"")</f>
        <v>1.04029800203183</v>
      </c>
      <c r="H45" s="25" t="n">
        <f aca="false">IF(AND($A45+(0)&gt;=1,$A45+(0)&lt;=$B$8),INDEX($E$12:$E$71,$A45+(0)),"")</f>
        <v>1.09929658105676</v>
      </c>
      <c r="I45" s="25" t="n">
        <f aca="false">IF(AND($A45+(12)&gt;=1,$A45+(12)&lt;=$B$8),INDEX($E$12:$E$71,$A45+(12)),"")</f>
        <v>1.27373242773653</v>
      </c>
      <c r="J45" s="25" t="str">
        <f aca="false">IF(AND($A45+(24)&gt;=1,$A45+(24)&lt;=$B$8),INDEX($E$12:$E$71,$A45+(24)),"")</f>
        <v/>
      </c>
      <c r="K45" s="25" t="n">
        <f aca="false">IF(SUMPRODUCT(Bobot_Filter!$B$38:$F$38,ISNUMBER(F45:J45)*1)&gt;0,SUMPRODUCT(Bobot_Filter!$B$38:$F$38,F45:J45)/SUMPRODUCT(Bobot_Filter!$B$38:$F$38,ISNUMBER(F45:J45)*1),"")</f>
        <v>1.10995266354223</v>
      </c>
      <c r="L45" s="25" t="n">
        <f aca="false">IF(AND($A45&gt;=$B$6,$A45&lt;=$B$7),SUMPRODUCT(Bobot_Filter!$B$4:$B$16,K39:K51),"")</f>
        <v>0.996915392087013</v>
      </c>
      <c r="M45" s="25" t="n">
        <f aca="false">K45/INDEX($L$12:$L$71,MAX($B$6,MIN($A45,$B$7)))</f>
        <v>1.11338702597276</v>
      </c>
      <c r="N45" s="27" t="n">
        <f aca="false">C45/M45</f>
        <v>251.484877646536</v>
      </c>
      <c r="O45" s="27" t="n">
        <f aca="false">IF(AND($A45&gt;=$B$6,$A45&lt;=$B$7),SUMPRODUCT(Bobot_Filter!$B$20:$B$32,N39:N51),"")</f>
        <v>255.585948263941</v>
      </c>
      <c r="P45" s="25" t="n">
        <f aca="false">IF(ISNUMBER(O45),C45/O45,"")</f>
        <v>1.09552188569791</v>
      </c>
      <c r="Q45" s="25" t="str">
        <f aca="false">IF(AND($A45+(-36)&gt;=1,$A45+(-36)&lt;=$B$8),INDEX($P$12:$P$71,$A45+(-36)),"")</f>
        <v/>
      </c>
      <c r="R45" s="25" t="n">
        <f aca="false">IF(AND($A45+(-24)&gt;=1,$A45+(-24)&lt;=$B$8),INDEX($P$12:$P$71,$A45+(-24)),"")</f>
        <v>0.985511996240801</v>
      </c>
      <c r="S45" s="25" t="n">
        <f aca="false">IF(AND($A45+(-12)&gt;=1,$A45+(-12)&lt;=$B$8),INDEX($P$12:$P$71,$A45+(-12)),"")</f>
        <v>1.03484173452625</v>
      </c>
      <c r="T45" s="25" t="n">
        <f aca="false">IF(AND($A45+(0)&gt;=1,$A45+(0)&lt;=$B$8),INDEX($P$12:$P$71,$A45+(0)),"")</f>
        <v>1.09552188569791</v>
      </c>
      <c r="U45" s="25" t="n">
        <f aca="false">IF(AND($A45+(12)&gt;=1,$A45+(12)&lt;=$B$8),INDEX($P$12:$P$71,$A45+(12)),"")</f>
        <v>1.27820691251731</v>
      </c>
      <c r="V45" s="25" t="str">
        <f aca="false">IF(AND($A45+(24)&gt;=1,$A45+(24)&lt;=$B$8),INDEX($P$12:$P$71,$A45+(24)),"")</f>
        <v/>
      </c>
      <c r="W45" s="25" t="str">
        <f aca="false">IF(AND($A45+(36)&gt;=1,$A45+(36)&lt;=$B$8),INDEX($P$12:$P$71,$A45+(36)),"")</f>
        <v/>
      </c>
      <c r="X45" s="25" t="n">
        <f aca="false">IF(SUMPRODUCT(Bobot_Filter!$B$43:$H$43,ISNUMBER(Q45:W45)*1)&gt;0,SUMPRODUCT(Bobot_Filter!$B$43:$H$43,Q45:W45)/SUMPRODUCT(Bobot_Filter!$B$43:$H$43,ISNUMBER(Q45:W45)*1),"")</f>
        <v>1.10879414460964</v>
      </c>
      <c r="Y45" s="25" t="n">
        <f aca="false">IF(AND($A45&gt;=$B$6,$A45&lt;=$B$7),SUMPRODUCT(Bobot_Filter!$B$4:$B$16,X39:X51),"")</f>
        <v>0.999051989548331</v>
      </c>
      <c r="Z45" s="33" t="n">
        <f aca="false">X45/INDEX($Y$12:$Y$71,MAX($B$6,MIN($A45,$B$7)))</f>
        <v>1.10984629049277</v>
      </c>
      <c r="AA45" s="27" t="n">
        <f aca="false">C45/Z45</f>
        <v>252.287188233679</v>
      </c>
      <c r="AB45" s="27" t="n">
        <f aca="false">IF(AND($A45&gt;=$B$6,$A45&lt;=$B$7),SUMPRODUCT(Bobot_Filter!$B$20:$B$32,AA39:AA51),"")</f>
        <v>255.946216429988</v>
      </c>
      <c r="AC45" s="25" t="n">
        <f aca="false">IF(ISNUMBER(AB45),AA45/AB45,"")</f>
        <v>0.985703917614624</v>
      </c>
      <c r="AD45" s="27" t="n">
        <f aca="false">$B$4+$B$3*A45</f>
        <v>256.75394073198</v>
      </c>
      <c r="AE45" s="27" t="n">
        <f aca="false">AD45*Z45</f>
        <v>284.957408690789</v>
      </c>
      <c r="AF45" s="28" t="n">
        <f aca="false">ABS(C45-AE45)/C45</f>
        <v>0.017705031038532</v>
      </c>
    </row>
    <row r="46" customFormat="false" ht="15" hidden="false" customHeight="false" outlineLevel="0" collapsed="false">
      <c r="A46" s="8" t="n">
        <v>35</v>
      </c>
      <c r="B46" s="22" t="n">
        <f aca="false">Data!B39</f>
        <v>45383</v>
      </c>
      <c r="C46" s="23" t="n">
        <f aca="false">Data!E39</f>
        <v>293</v>
      </c>
      <c r="D46" s="27" t="n">
        <f aca="false">IF(AND($A46&gt;=$B$6,$A46&lt;=$B$7),SUMPRODUCT(Bobot_Filter!$B$4:$B$16,C40:C52),"")</f>
        <v>253.666666666667</v>
      </c>
      <c r="E46" s="25" t="n">
        <f aca="false">IF(ISNUMBER(D46),C46/D46,"")</f>
        <v>1.15505913272011</v>
      </c>
      <c r="F46" s="25" t="n">
        <f aca="false">IF(AND($A46+(-24)&gt;=1,$A46+(-24)&lt;=$B$8),INDEX($E$12:$E$71,$A46+(-24)),"")</f>
        <v>1.25571428571429</v>
      </c>
      <c r="G46" s="25" t="n">
        <f aca="false">IF(AND($A46+(-12)&gt;=1,$A46+(-12)&lt;=$B$8),INDEX($E$12:$E$71,$A46+(-12)),"")</f>
        <v>1.24899598393574</v>
      </c>
      <c r="H46" s="25" t="n">
        <f aca="false">IF(AND($A46+(0)&gt;=1,$A46+(0)&lt;=$B$8),INDEX($E$12:$E$71,$A46+(0)),"")</f>
        <v>1.15505913272011</v>
      </c>
      <c r="I46" s="25" t="n">
        <f aca="false">IF(AND($A46+(12)&gt;=1,$A46+(12)&lt;=$B$8),INDEX($E$12:$E$71,$A46+(12)),"")</f>
        <v>0.993000466635558</v>
      </c>
      <c r="J46" s="25" t="str">
        <f aca="false">IF(AND($A46+(24)&gt;=1,$A46+(24)&lt;=$B$8),INDEX($E$12:$E$71,$A46+(24)),"")</f>
        <v/>
      </c>
      <c r="K46" s="25" t="n">
        <f aca="false">IF(SUMPRODUCT(Bobot_Filter!$B$38:$F$38,ISNUMBER(F46:J46)*1)&gt;0,SUMPRODUCT(Bobot_Filter!$B$38:$F$38,F46:J46)/SUMPRODUCT(Bobot_Filter!$B$38:$F$38,ISNUMBER(F46:J46)*1),"")</f>
        <v>1.15061057312715</v>
      </c>
      <c r="L46" s="25" t="n">
        <f aca="false">IF(AND($A46&gt;=$B$6,$A46&lt;=$B$7),SUMPRODUCT(Bobot_Filter!$B$4:$B$16,K40:K52),"")</f>
        <v>0.99758143488548</v>
      </c>
      <c r="M46" s="25" t="n">
        <f aca="false">K46/INDEX($L$12:$L$71,MAX($B$6,MIN($A46,$B$7)))</f>
        <v>1.15340014648452</v>
      </c>
      <c r="N46" s="27" t="n">
        <f aca="false">C46/M46</f>
        <v>254.031526606827</v>
      </c>
      <c r="O46" s="27" t="n">
        <f aca="false">IF(AND($A46&gt;=$B$6,$A46&lt;=$B$7),SUMPRODUCT(Bobot_Filter!$B$20:$B$32,N40:N52),"")</f>
        <v>255.396117052833</v>
      </c>
      <c r="P46" s="25" t="n">
        <f aca="false">IF(ISNUMBER(O46),C46/O46,"")</f>
        <v>1.1472374888902</v>
      </c>
      <c r="Q46" s="25" t="str">
        <f aca="false">IF(AND($A46+(-36)&gt;=1,$A46+(-36)&lt;=$B$8),INDEX($P$12:$P$71,$A46+(-36)),"")</f>
        <v/>
      </c>
      <c r="R46" s="25" t="n">
        <f aca="false">IF(AND($A46+(-24)&gt;=1,$A46+(-24)&lt;=$B$8),INDEX($P$12:$P$71,$A46+(-24)),"")</f>
        <v>1.27508889274968</v>
      </c>
      <c r="S46" s="25" t="n">
        <f aca="false">IF(AND($A46+(-12)&gt;=1,$A46+(-12)&lt;=$B$8),INDEX($P$12:$P$71,$A46+(-12)),"")</f>
        <v>1.25387261773949</v>
      </c>
      <c r="T46" s="25" t="n">
        <f aca="false">IF(AND($A46+(0)&gt;=1,$A46+(0)&lt;=$B$8),INDEX($P$12:$P$71,$A46+(0)),"")</f>
        <v>1.1472374888902</v>
      </c>
      <c r="U46" s="25" t="n">
        <f aca="false">IF(AND($A46+(12)&gt;=1,$A46+(12)&lt;=$B$8),INDEX($P$12:$P$71,$A46+(12)),"")</f>
        <v>1.0105368685175</v>
      </c>
      <c r="V46" s="25" t="str">
        <f aca="false">IF(AND($A46+(24)&gt;=1,$A46+(24)&lt;=$B$8),INDEX($P$12:$P$71,$A46+(24)),"")</f>
        <v/>
      </c>
      <c r="W46" s="25" t="str">
        <f aca="false">IF(AND($A46+(36)&gt;=1,$A46+(36)&lt;=$B$8),INDEX($P$12:$P$71,$A46+(36)),"")</f>
        <v/>
      </c>
      <c r="X46" s="25" t="n">
        <f aca="false">IF(SUMPRODUCT(Bobot_Filter!$B$43:$H$43,ISNUMBER(Q46:W46)*1)&gt;0,SUMPRODUCT(Bobot_Filter!$B$43:$H$43,Q46:W46)/SUMPRODUCT(Bobot_Filter!$B$43:$H$43,ISNUMBER(Q46:W46)*1),"")</f>
        <v>1.16228351917645</v>
      </c>
      <c r="Y46" s="25" t="n">
        <f aca="false">IF(AND($A46&gt;=$B$6,$A46&lt;=$B$7),SUMPRODUCT(Bobot_Filter!$B$4:$B$16,X40:X52),"")</f>
        <v>0.999658313530059</v>
      </c>
      <c r="Z46" s="33" t="n">
        <f aca="false">X46/INDEX($Y$12:$Y$71,MAX($B$6,MIN($A46,$B$7)))</f>
        <v>1.16268079147175</v>
      </c>
      <c r="AA46" s="27" t="n">
        <f aca="false">C46/Z46</f>
        <v>252.003819233233</v>
      </c>
      <c r="AB46" s="27" t="n">
        <f aca="false">IF(AND($A46&gt;=$B$6,$A46&lt;=$B$7),SUMPRODUCT(Bobot_Filter!$B$20:$B$32,AA40:AA52),"")</f>
        <v>255.170475128187</v>
      </c>
      <c r="AC46" s="25" t="n">
        <f aca="false">IF(ISNUMBER(AB46),AA46/AB46,"")</f>
        <v>0.987590038019239</v>
      </c>
      <c r="AD46" s="27" t="n">
        <f aca="false">$B$4+$B$3*A46</f>
        <v>257.82673898388</v>
      </c>
      <c r="AE46" s="27" t="n">
        <f aca="false">AD46*Z46</f>
        <v>299.770196944358</v>
      </c>
      <c r="AF46" s="28" t="n">
        <f aca="false">ABS(C46-AE46)/C46</f>
        <v>0.023106474212827</v>
      </c>
    </row>
    <row r="47" customFormat="false" ht="15" hidden="false" customHeight="false" outlineLevel="0" collapsed="false">
      <c r="A47" s="8" t="n">
        <v>36</v>
      </c>
      <c r="B47" s="22" t="n">
        <f aca="false">Data!B40</f>
        <v>45413</v>
      </c>
      <c r="C47" s="23" t="n">
        <f aca="false">Data!E40</f>
        <v>241</v>
      </c>
      <c r="D47" s="27" t="n">
        <f aca="false">IF(AND($A47&gt;=$B$6,$A47&lt;=$B$7),SUMPRODUCT(Bobot_Filter!$B$4:$B$16,C41:C53),"")</f>
        <v>253.208333333333</v>
      </c>
      <c r="E47" s="25" t="n">
        <f aca="false">IF(ISNUMBER(D47),C47/D47,"")</f>
        <v>0.951785420437716</v>
      </c>
      <c r="F47" s="25" t="n">
        <f aca="false">IF(AND($A47+(-24)&gt;=1,$A47+(-24)&lt;=$B$8),INDEX($E$12:$E$71,$A47+(-24)),"")</f>
        <v>1.03488996242619</v>
      </c>
      <c r="G47" s="25" t="n">
        <f aca="false">IF(AND($A47+(-12)&gt;=1,$A47+(-12)&lt;=$B$8),INDEX($E$12:$E$71,$A47+(-12)),"")</f>
        <v>0.92123629112662</v>
      </c>
      <c r="H47" s="25" t="n">
        <f aca="false">IF(AND($A47+(0)&gt;=1,$A47+(0)&lt;=$B$8),INDEX($E$12:$E$71,$A47+(0)),"")</f>
        <v>0.951785420437716</v>
      </c>
      <c r="I47" s="25" t="n">
        <f aca="false">IF(AND($A47+(12)&gt;=1,$A47+(12)&lt;=$B$8),INDEX($E$12:$E$71,$A47+(12)),"")</f>
        <v>0.894615738610216</v>
      </c>
      <c r="J47" s="25" t="str">
        <f aca="false">IF(AND($A47+(24)&gt;=1,$A47+(24)&lt;=$B$8),INDEX($E$12:$E$71,$A47+(24)),"")</f>
        <v/>
      </c>
      <c r="K47" s="25" t="n">
        <f aca="false">IF(SUMPRODUCT(Bobot_Filter!$B$38:$F$38,ISNUMBER(F47:J47)*1)&gt;0,SUMPRODUCT(Bobot_Filter!$B$38:$F$38,F47:J47)/SUMPRODUCT(Bobot_Filter!$B$38:$F$38,ISNUMBER(F47:J47)*1),"")</f>
        <v>0.940243785401627</v>
      </c>
      <c r="L47" s="25" t="n">
        <f aca="false">IF(AND($A47&gt;=$B$6,$A47&lt;=$B$7),SUMPRODUCT(Bobot_Filter!$B$4:$B$16,K41:K53),"")</f>
        <v>0.99803718954959</v>
      </c>
      <c r="M47" s="25" t="n">
        <f aca="false">K47/INDEX($L$12:$L$71,MAX($B$6,MIN($A47,$B$7)))</f>
        <v>0.942092935260213</v>
      </c>
      <c r="N47" s="27" t="n">
        <f aca="false">C47/M47</f>
        <v>255.813403306579</v>
      </c>
      <c r="O47" s="27" t="n">
        <f aca="false">IF(AND($A47&gt;=$B$6,$A47&lt;=$B$7),SUMPRODUCT(Bobot_Filter!$B$20:$B$32,N41:N53),"")</f>
        <v>254.484565189345</v>
      </c>
      <c r="P47" s="25" t="n">
        <f aca="false">IF(ISNUMBER(O47),C47/O47,"")</f>
        <v>0.947012247366312</v>
      </c>
      <c r="Q47" s="25" t="str">
        <f aca="false">IF(AND($A47+(-36)&gt;=1,$A47+(-36)&lt;=$B$8),INDEX($P$12:$P$71,$A47+(-36)),"")</f>
        <v/>
      </c>
      <c r="R47" s="25" t="n">
        <f aca="false">IF(AND($A47+(-24)&gt;=1,$A47+(-24)&lt;=$B$8),INDEX($P$12:$P$71,$A47+(-24)),"")</f>
        <v>1.02919749634417</v>
      </c>
      <c r="S47" s="25" t="n">
        <f aca="false">IF(AND($A47+(-12)&gt;=1,$A47+(-12)&lt;=$B$8),INDEX($P$12:$P$71,$A47+(-12)),"")</f>
        <v>0.926608537456975</v>
      </c>
      <c r="T47" s="25" t="n">
        <f aca="false">IF(AND($A47+(0)&gt;=1,$A47+(0)&lt;=$B$8),INDEX($P$12:$P$71,$A47+(0)),"")</f>
        <v>0.947012247366312</v>
      </c>
      <c r="U47" s="25" t="n">
        <f aca="false">IF(AND($A47+(12)&gt;=1,$A47+(12)&lt;=$B$8),INDEX($P$12:$P$71,$A47+(12)),"")</f>
        <v>0.916976624866307</v>
      </c>
      <c r="V47" s="25" t="str">
        <f aca="false">IF(AND($A47+(24)&gt;=1,$A47+(24)&lt;=$B$8),INDEX($P$12:$P$71,$A47+(24)),"")</f>
        <v/>
      </c>
      <c r="W47" s="25" t="str">
        <f aca="false">IF(AND($A47+(36)&gt;=1,$A47+(36)&lt;=$B$8),INDEX($P$12:$P$71,$A47+(36)),"")</f>
        <v/>
      </c>
      <c r="X47" s="25" t="n">
        <f aca="false">IF(SUMPRODUCT(Bobot_Filter!$B$43:$H$43,ISNUMBER(Q47:W47)*1)&gt;0,SUMPRODUCT(Bobot_Filter!$B$43:$H$43,Q47:W47)/SUMPRODUCT(Bobot_Filter!$B$43:$H$43,ISNUMBER(Q47:W47)*1),"")</f>
        <v>0.948198838341557</v>
      </c>
      <c r="Y47" s="25" t="n">
        <f aca="false">IF(AND($A47&gt;=$B$6,$A47&lt;=$B$7),SUMPRODUCT(Bobot_Filter!$B$4:$B$16,X41:X53),"")</f>
        <v>0.99986939102529</v>
      </c>
      <c r="Z47" s="33" t="n">
        <f aca="false">X47/INDEX($Y$12:$Y$71,MAX($B$6,MIN($A47,$B$7)))</f>
        <v>0.94832269779681</v>
      </c>
      <c r="AA47" s="27" t="n">
        <f aca="false">C47/Z47</f>
        <v>254.132902818738</v>
      </c>
      <c r="AB47" s="27" t="n">
        <f aca="false">IF(AND($A47&gt;=$B$6,$A47&lt;=$B$7),SUMPRODUCT(Bobot_Filter!$B$20:$B$32,AA41:AA53),"")</f>
        <v>253.673881869329</v>
      </c>
      <c r="AC47" s="25" t="n">
        <f aca="false">IF(ISNUMBER(AB47),AA47/AB47,"")</f>
        <v>1.00180949235304</v>
      </c>
      <c r="AD47" s="27" t="n">
        <f aca="false">$B$4+$B$3*A47</f>
        <v>258.899537235779</v>
      </c>
      <c r="AE47" s="27" t="n">
        <f aca="false">AD47*Z47</f>
        <v>245.52030760978</v>
      </c>
      <c r="AF47" s="28" t="n">
        <f aca="false">ABS(C47-AE47)/C47</f>
        <v>0.0187564631111192</v>
      </c>
    </row>
    <row r="48" customFormat="false" ht="15" hidden="false" customHeight="false" outlineLevel="0" collapsed="false">
      <c r="A48" s="8" t="n">
        <v>37</v>
      </c>
      <c r="B48" s="22" t="n">
        <f aca="false">Data!B41</f>
        <v>45444</v>
      </c>
      <c r="C48" s="23" t="n">
        <f aca="false">Data!E41</f>
        <v>233</v>
      </c>
      <c r="D48" s="27" t="n">
        <f aca="false">IF(AND($A48&gt;=$B$6,$A48&lt;=$B$7),SUMPRODUCT(Bobot_Filter!$B$4:$B$16,C42:C54),"")</f>
        <v>253.833333333333</v>
      </c>
      <c r="E48" s="25" t="n">
        <f aca="false">IF(ISNUMBER(D48),C48/D48,"")</f>
        <v>0.917925147734734</v>
      </c>
      <c r="F48" s="25" t="n">
        <f aca="false">IF(AND($A48+(-24)&gt;=1,$A48+(-24)&lt;=$B$8),INDEX($E$12:$E$71,$A48+(-24)),"")</f>
        <v>0.977841315225161</v>
      </c>
      <c r="G48" s="25" t="n">
        <f aca="false">IF(AND($A48+(-12)&gt;=1,$A48+(-12)&lt;=$B$8),INDEX($E$12:$E$71,$A48+(-12)),"")</f>
        <v>0.927055702917772</v>
      </c>
      <c r="H48" s="25" t="n">
        <f aca="false">IF(AND($A48+(0)&gt;=1,$A48+(0)&lt;=$B$8),INDEX($E$12:$E$71,$A48+(0)),"")</f>
        <v>0.917925147734734</v>
      </c>
      <c r="I48" s="25" t="n">
        <f aca="false">IF(AND($A48+(12)&gt;=1,$A48+(12)&lt;=$B$8),INDEX($E$12:$E$71,$A48+(12)),"")</f>
        <v>0.866727107887579</v>
      </c>
      <c r="J48" s="25" t="str">
        <f aca="false">IF(AND($A48+(24)&gt;=1,$A48+(24)&lt;=$B$8),INDEX($E$12:$E$71,$A48+(24)),"")</f>
        <v/>
      </c>
      <c r="K48" s="25" t="n">
        <f aca="false">IF(SUMPRODUCT(Bobot_Filter!$B$38:$F$38,ISNUMBER(F48:J48)*1)&gt;0,SUMPRODUCT(Bobot_Filter!$B$38:$F$38,F48:J48)/SUMPRODUCT(Bobot_Filter!$B$38:$F$38,ISNUMBER(F48:J48)*1),"")</f>
        <v>0.914897797505008</v>
      </c>
      <c r="L48" s="25" t="n">
        <f aca="false">IF(AND($A48&gt;=$B$6,$A48&lt;=$B$7),SUMPRODUCT(Bobot_Filter!$B$4:$B$16,K42:K54),"")</f>
        <v>0.998111597881682</v>
      </c>
      <c r="M48" s="25" t="n">
        <f aca="false">K48/INDEX($L$12:$L$71,MAX($B$6,MIN($A48,$B$7)))</f>
        <v>0.916628761199369</v>
      </c>
      <c r="N48" s="27" t="n">
        <f aca="false">C48/M48</f>
        <v>254.192329395305</v>
      </c>
      <c r="O48" s="27" t="n">
        <f aca="false">IF(AND($A48&gt;=$B$6,$A48&lt;=$B$7),SUMPRODUCT(Bobot_Filter!$B$20:$B$32,N42:N54),"")</f>
        <v>252.936770873313</v>
      </c>
      <c r="P48" s="25" t="n">
        <f aca="false">IF(ISNUMBER(O48),C48/O48,"")</f>
        <v>0.921178835309406</v>
      </c>
      <c r="Q48" s="25" t="str">
        <f aca="false">IF(AND($A48+(-36)&gt;=1,$A48+(-36)&lt;=$B$8),INDEX($P$12:$P$71,$A48+(-36)),"")</f>
        <v/>
      </c>
      <c r="R48" s="25" t="n">
        <f aca="false">IF(AND($A48+(-24)&gt;=1,$A48+(-24)&lt;=$B$8),INDEX($P$12:$P$71,$A48+(-24)),"")</f>
        <v>0.961218278209873</v>
      </c>
      <c r="S48" s="25" t="n">
        <f aca="false">IF(AND($A48+(-12)&gt;=1,$A48+(-12)&lt;=$B$8),INDEX($P$12:$P$71,$A48+(-12)),"")</f>
        <v>0.926297999942602</v>
      </c>
      <c r="T48" s="25" t="n">
        <f aca="false">IF(AND($A48+(0)&gt;=1,$A48+(0)&lt;=$B$8),INDEX($P$12:$P$71,$A48+(0)),"")</f>
        <v>0.921178835309406</v>
      </c>
      <c r="U48" s="25" t="n">
        <f aca="false">IF(AND($A48+(12)&gt;=1,$A48+(12)&lt;=$B$8),INDEX($P$12:$P$71,$A48+(12)),"")</f>
        <v>0.889166697841952</v>
      </c>
      <c r="V48" s="25" t="str">
        <f aca="false">IF(AND($A48+(24)&gt;=1,$A48+(24)&lt;=$B$8),INDEX($P$12:$P$71,$A48+(24)),"")</f>
        <v/>
      </c>
      <c r="W48" s="25" t="str">
        <f aca="false">IF(AND($A48+(36)&gt;=1,$A48+(36)&lt;=$B$8),INDEX($P$12:$P$71,$A48+(36)),"")</f>
        <v/>
      </c>
      <c r="X48" s="25" t="n">
        <f aca="false">IF(SUMPRODUCT(Bobot_Filter!$B$43:$H$43,ISNUMBER(Q48:W48)*1)&gt;0,SUMPRODUCT(Bobot_Filter!$B$43:$H$43,Q48:W48)/SUMPRODUCT(Bobot_Filter!$B$43:$H$43,ISNUMBER(Q48:W48)*1),"")</f>
        <v>0.921124286881966</v>
      </c>
      <c r="Y48" s="25" t="n">
        <f aca="false">IF(AND($A48&gt;=$B$6,$A48&lt;=$B$7),SUMPRODUCT(Bobot_Filter!$B$4:$B$16,X42:X54),"")</f>
        <v>0.999594420470206</v>
      </c>
      <c r="Z48" s="33" t="n">
        <f aca="false">X48/INDEX($Y$12:$Y$71,MAX($B$6,MIN($A48,$B$7)))</f>
        <v>0.921498027618714</v>
      </c>
      <c r="AA48" s="27" t="n">
        <f aca="false">C48/Z48</f>
        <v>252.849157585401</v>
      </c>
      <c r="AB48" s="27" t="n">
        <f aca="false">IF(AND($A48&gt;=$B$6,$A48&lt;=$B$7),SUMPRODUCT(Bobot_Filter!$B$20:$B$32,AA42:AA54),"")</f>
        <v>251.775091563856</v>
      </c>
      <c r="AC48" s="25" t="n">
        <f aca="false">IF(ISNUMBER(AB48),AA48/AB48,"")</f>
        <v>1.00426597410758</v>
      </c>
      <c r="AD48" s="27" t="n">
        <f aca="false">$B$4+$B$3*A48</f>
        <v>259.972335487679</v>
      </c>
      <c r="AE48" s="27" t="n">
        <f aca="false">AD48*Z48</f>
        <v>239.563994387326</v>
      </c>
      <c r="AF48" s="28" t="n">
        <f aca="false">ABS(C48-AE48)/C48</f>
        <v>0.0281716497310141</v>
      </c>
    </row>
    <row r="49" customFormat="false" ht="15" hidden="false" customHeight="false" outlineLevel="0" collapsed="false">
      <c r="A49" s="8" t="n">
        <v>38</v>
      </c>
      <c r="B49" s="22" t="n">
        <f aca="false">Data!B42</f>
        <v>45474</v>
      </c>
      <c r="C49" s="23" t="n">
        <f aca="false">Data!E42</f>
        <v>258</v>
      </c>
      <c r="D49" s="27" t="n">
        <f aca="false">IF(AND($A49&gt;=$B$6,$A49&lt;=$B$7),SUMPRODUCT(Bobot_Filter!$B$4:$B$16,C43:C55),"")</f>
        <v>254.375</v>
      </c>
      <c r="E49" s="25" t="n">
        <f aca="false">IF(ISNUMBER(D49),C49/D49,"")</f>
        <v>1.01425061425061</v>
      </c>
      <c r="F49" s="25" t="n">
        <f aca="false">IF(AND($A49+(-24)&gt;=1,$A49+(-24)&lt;=$B$8),INDEX($E$12:$E$71,$A49+(-24)),"")</f>
        <v>1.04700854700855</v>
      </c>
      <c r="G49" s="25" t="n">
        <f aca="false">IF(AND($A49+(-12)&gt;=1,$A49+(-12)&lt;=$B$8),INDEX($E$12:$E$71,$A49+(-12)),"")</f>
        <v>1.05450941526264</v>
      </c>
      <c r="H49" s="25" t="n">
        <f aca="false">IF(AND($A49+(0)&gt;=1,$A49+(0)&lt;=$B$8),INDEX($E$12:$E$71,$A49+(0)),"")</f>
        <v>1.01425061425061</v>
      </c>
      <c r="I49" s="25" t="n">
        <f aca="false">IF(AND($A49+(12)&gt;=1,$A49+(12)&lt;=$B$8),INDEX($E$12:$E$71,$A49+(12)),"")</f>
        <v>0.994911703082909</v>
      </c>
      <c r="J49" s="25" t="str">
        <f aca="false">IF(AND($A49+(24)&gt;=1,$A49+(24)&lt;=$B$8),INDEX($E$12:$E$71,$A49+(24)),"")</f>
        <v/>
      </c>
      <c r="K49" s="25" t="n">
        <f aca="false">IF(SUMPRODUCT(Bobot_Filter!$B$38:$F$38,ISNUMBER(F49:J49)*1)&gt;0,SUMPRODUCT(Bobot_Filter!$B$38:$F$38,F49:J49)/SUMPRODUCT(Bobot_Filter!$B$38:$F$38,ISNUMBER(F49:J49)*1),"")</f>
        <v>1.02357532830644</v>
      </c>
      <c r="L49" s="25" t="n">
        <f aca="false">IF(AND($A49&gt;=$B$6,$A49&lt;=$B$7),SUMPRODUCT(Bobot_Filter!$B$4:$B$16,K43:K55),"")</f>
        <v>0.998140368205132</v>
      </c>
      <c r="M49" s="25" t="n">
        <f aca="false">K49/INDEX($L$12:$L$71,MAX($B$6,MIN($A49,$B$7)))</f>
        <v>1.02548234788564</v>
      </c>
      <c r="N49" s="27" t="n">
        <f aca="false">C49/M49</f>
        <v>251.588923526524</v>
      </c>
      <c r="O49" s="27" t="n">
        <f aca="false">IF(AND($A49&gt;=$B$6,$A49&lt;=$B$7),SUMPRODUCT(Bobot_Filter!$B$20:$B$32,N43:N55),"")</f>
        <v>251.659385522006</v>
      </c>
      <c r="P49" s="25" t="n">
        <f aca="false">IF(ISNUMBER(O49),C49/O49,"")</f>
        <v>1.02519522355521</v>
      </c>
      <c r="Q49" s="25" t="str">
        <f aca="false">IF(AND($A49+(-36)&gt;=1,$A49+(-36)&lt;=$B$8),INDEX($P$12:$P$71,$A49+(-36)),"")</f>
        <v/>
      </c>
      <c r="R49" s="25" t="n">
        <f aca="false">IF(AND($A49+(-24)&gt;=1,$A49+(-24)&lt;=$B$8),INDEX($P$12:$P$71,$A49+(-24)),"")</f>
        <v>1.02844579819639</v>
      </c>
      <c r="S49" s="25" t="n">
        <f aca="false">IF(AND($A49+(-12)&gt;=1,$A49+(-12)&lt;=$B$8),INDEX($P$12:$P$71,$A49+(-12)),"")</f>
        <v>1.04671826253787</v>
      </c>
      <c r="T49" s="25" t="n">
        <f aca="false">IF(AND($A49+(0)&gt;=1,$A49+(0)&lt;=$B$8),INDEX($P$12:$P$71,$A49+(0)),"")</f>
        <v>1.02519522355521</v>
      </c>
      <c r="U49" s="25" t="n">
        <f aca="false">IF(AND($A49+(12)&gt;=1,$A49+(12)&lt;=$B$8),INDEX($P$12:$P$71,$A49+(12)),"")</f>
        <v>1.00527661784622</v>
      </c>
      <c r="V49" s="25" t="str">
        <f aca="false">IF(AND($A49+(24)&gt;=1,$A49+(24)&lt;=$B$8),INDEX($P$12:$P$71,$A49+(24)),"")</f>
        <v/>
      </c>
      <c r="W49" s="25" t="str">
        <f aca="false">IF(AND($A49+(36)&gt;=1,$A49+(36)&lt;=$B$8),INDEX($P$12:$P$71,$A49+(36)),"")</f>
        <v/>
      </c>
      <c r="X49" s="25" t="n">
        <f aca="false">IF(SUMPRODUCT(Bobot_Filter!$B$43:$H$43,ISNUMBER(Q49:W49)*1)&gt;0,SUMPRODUCT(Bobot_Filter!$B$43:$H$43,Q49:W49)/SUMPRODUCT(Bobot_Filter!$B$43:$H$43,ISNUMBER(Q49:W49)*1),"")</f>
        <v>1.02622380983734</v>
      </c>
      <c r="Y49" s="25" t="n">
        <f aca="false">IF(AND($A49&gt;=$B$6,$A49&lt;=$B$7),SUMPRODUCT(Bobot_Filter!$B$4:$B$16,X43:X55),"")</f>
        <v>0.999378534408405</v>
      </c>
      <c r="Z49" s="33" t="n">
        <f aca="false">X49/INDEX($Y$12:$Y$71,MAX($B$6,MIN($A49,$B$7)))</f>
        <v>1.02686196921852</v>
      </c>
      <c r="AA49" s="27" t="n">
        <f aca="false">C49/Z49</f>
        <v>251.250905899599</v>
      </c>
      <c r="AB49" s="27" t="n">
        <f aca="false">IF(AND($A49&gt;=$B$6,$A49&lt;=$B$7),SUMPRODUCT(Bobot_Filter!$B$20:$B$32,AA43:AA55),"")</f>
        <v>250.48417376105</v>
      </c>
      <c r="AC49" s="25" t="n">
        <f aca="false">IF(ISNUMBER(AB49),AA49/AB49,"")</f>
        <v>1.00306100033002</v>
      </c>
      <c r="AD49" s="27" t="n">
        <f aca="false">$B$4+$B$3*A49</f>
        <v>261.045133739578</v>
      </c>
      <c r="AE49" s="27" t="n">
        <f aca="false">AD49*Z49</f>
        <v>268.057320086736</v>
      </c>
      <c r="AF49" s="28" t="n">
        <f aca="false">ABS(C49-AE49)/C49</f>
        <v>0.0389818608013019</v>
      </c>
    </row>
    <row r="50" customFormat="false" ht="15" hidden="false" customHeight="false" outlineLevel="0" collapsed="false">
      <c r="A50" s="8" t="n">
        <v>39</v>
      </c>
      <c r="B50" s="22" t="n">
        <f aca="false">Data!B43</f>
        <v>45505</v>
      </c>
      <c r="C50" s="23" t="n">
        <f aca="false">Data!E43</f>
        <v>225</v>
      </c>
      <c r="D50" s="27" t="n">
        <f aca="false">IF(AND($A50&gt;=$B$6,$A50&lt;=$B$7),SUMPRODUCT(Bobot_Filter!$B$4:$B$16,C44:C56),"")</f>
        <v>254.666666666667</v>
      </c>
      <c r="E50" s="25" t="n">
        <f aca="false">IF(ISNUMBER(D50),C50/D50,"")</f>
        <v>0.883507853403141</v>
      </c>
      <c r="F50" s="25" t="n">
        <f aca="false">IF(AND($A50+(-24)&gt;=1,$A50+(-24)&lt;=$B$8),INDEX($E$12:$E$71,$A50+(-24)),"")</f>
        <v>0.94208766062313</v>
      </c>
      <c r="G50" s="25" t="n">
        <f aca="false">IF(AND($A50+(-12)&gt;=1,$A50+(-12)&lt;=$B$8),INDEX($E$12:$E$71,$A50+(-12)),"")</f>
        <v>0.89064039408867</v>
      </c>
      <c r="H50" s="25" t="n">
        <f aca="false">IF(AND($A50+(0)&gt;=1,$A50+(0)&lt;=$B$8),INDEX($E$12:$E$71,$A50+(0)),"")</f>
        <v>0.883507853403141</v>
      </c>
      <c r="I50" s="25" t="n">
        <f aca="false">IF(AND($A50+(12)&gt;=1,$A50+(12)&lt;=$B$8),INDEX($E$12:$E$71,$A50+(12)),"")</f>
        <v>0.897462531532869</v>
      </c>
      <c r="J50" s="25" t="str">
        <f aca="false">IF(AND($A50+(24)&gt;=1,$A50+(24)&lt;=$B$8),INDEX($E$12:$E$71,$A50+(24)),"")</f>
        <v/>
      </c>
      <c r="K50" s="25" t="n">
        <f aca="false">IF(SUMPRODUCT(Bobot_Filter!$B$38:$F$38,ISNUMBER(F50:J50)*1)&gt;0,SUMPRODUCT(Bobot_Filter!$B$38:$F$38,F50:J50)/SUMPRODUCT(Bobot_Filter!$B$38:$F$38,ISNUMBER(F50:J50)*1),"")</f>
        <v>0.896102134009454</v>
      </c>
      <c r="L50" s="25" t="n">
        <f aca="false">IF(AND($A50&gt;=$B$6,$A50&lt;=$B$7),SUMPRODUCT(Bobot_Filter!$B$4:$B$16,K44:K56),"")</f>
        <v>0.999492408983939</v>
      </c>
      <c r="M50" s="25" t="n">
        <f aca="false">K50/INDEX($L$12:$L$71,MAX($B$6,MIN($A50,$B$7)))</f>
        <v>0.896557218398898</v>
      </c>
      <c r="N50" s="27" t="n">
        <f aca="false">C50/M50</f>
        <v>250.960000524911</v>
      </c>
      <c r="O50" s="27" t="n">
        <f aca="false">IF(AND($A50&gt;=$B$6,$A50&lt;=$B$7),SUMPRODUCT(Bobot_Filter!$B$20:$B$32,N44:N56),"")</f>
        <v>251.096380571322</v>
      </c>
      <c r="P50" s="25" t="n">
        <f aca="false">IF(ISNUMBER(O50),C50/O50,"")</f>
        <v>0.896070263888533</v>
      </c>
      <c r="Q50" s="25" t="str">
        <f aca="false">IF(AND($A50+(-36)&gt;=1,$A50+(-36)&lt;=$B$8),INDEX($P$12:$P$71,$A50+(-36)),"")</f>
        <v/>
      </c>
      <c r="R50" s="25" t="n">
        <f aca="false">IF(AND($A50+(-24)&gt;=1,$A50+(-24)&lt;=$B$8),INDEX($P$12:$P$71,$A50+(-24)),"")</f>
        <v>0.938718003678862</v>
      </c>
      <c r="S50" s="25" t="n">
        <f aca="false">IF(AND($A50+(-12)&gt;=1,$A50+(-12)&lt;=$B$8),INDEX($P$12:$P$71,$A50+(-12)),"")</f>
        <v>0.881774714221948</v>
      </c>
      <c r="T50" s="25" t="n">
        <f aca="false">IF(AND($A50+(0)&gt;=1,$A50+(0)&lt;=$B$8),INDEX($P$12:$P$71,$A50+(0)),"")</f>
        <v>0.896070263888533</v>
      </c>
      <c r="U50" s="25" t="n">
        <f aca="false">IF(AND($A50+(12)&gt;=1,$A50+(12)&lt;=$B$8),INDEX($P$12:$P$71,$A50+(12)),"")</f>
        <v>0.889833135203484</v>
      </c>
      <c r="V50" s="25" t="str">
        <f aca="false">IF(AND($A50+(24)&gt;=1,$A50+(24)&lt;=$B$8),INDEX($P$12:$P$71,$A50+(24)),"")</f>
        <v/>
      </c>
      <c r="W50" s="25" t="str">
        <f aca="false">IF(AND($A50+(36)&gt;=1,$A50+(36)&lt;=$B$8),INDEX($P$12:$P$71,$A50+(36)),"")</f>
        <v/>
      </c>
      <c r="X50" s="25" t="n">
        <f aca="false">IF(SUMPRODUCT(Bobot_Filter!$B$43:$H$43,ISNUMBER(Q50:W50)*1)&gt;0,SUMPRODUCT(Bobot_Filter!$B$43:$H$43,Q50:W50)/SUMPRODUCT(Bobot_Filter!$B$43:$H$43,ISNUMBER(Q50:W50)*1),"")</f>
        <v>0.898224577027238</v>
      </c>
      <c r="Y50" s="25" t="n">
        <f aca="false">IF(AND($A50&gt;=$B$6,$A50&lt;=$B$7),SUMPRODUCT(Bobot_Filter!$B$4:$B$16,X44:X56),"")</f>
        <v>0.999984960642209</v>
      </c>
      <c r="Z50" s="33" t="n">
        <f aca="false">X50/INDEX($Y$12:$Y$71,MAX($B$6,MIN($A50,$B$7)))</f>
        <v>0.898238085951194</v>
      </c>
      <c r="AA50" s="27" t="n">
        <f aca="false">C50/Z50</f>
        <v>250.49038057848</v>
      </c>
      <c r="AB50" s="27" t="n">
        <f aca="false">IF(AND($A50&gt;=$B$6,$A50&lt;=$B$7),SUMPRODUCT(Bobot_Filter!$B$20:$B$32,AA44:AA56),"")</f>
        <v>250.086015640255</v>
      </c>
      <c r="AC50" s="25" t="n">
        <f aca="false">IF(ISNUMBER(AB50),AA50/AB50,"")</f>
        <v>1.00161690343696</v>
      </c>
      <c r="AD50" s="27" t="n">
        <f aca="false">$B$4+$B$3*A50</f>
        <v>262.117931991478</v>
      </c>
      <c r="AE50" s="27" t="n">
        <f aca="false">AD50*Z50</f>
        <v>235.44430952551</v>
      </c>
      <c r="AF50" s="28" t="n">
        <f aca="false">ABS(C50-AE50)/C50</f>
        <v>0.0464191534467108</v>
      </c>
    </row>
    <row r="51" customFormat="false" ht="15" hidden="false" customHeight="false" outlineLevel="0" collapsed="false">
      <c r="A51" s="8" t="n">
        <v>40</v>
      </c>
      <c r="B51" s="22" t="n">
        <f aca="false">Data!B44</f>
        <v>45536</v>
      </c>
      <c r="C51" s="23" t="n">
        <f aca="false">Data!E44</f>
        <v>231</v>
      </c>
      <c r="D51" s="27" t="n">
        <f aca="false">IF(AND($A51&gt;=$B$6,$A51&lt;=$B$7),SUMPRODUCT(Bobot_Filter!$B$4:$B$16,C45:C57),"")</f>
        <v>257.25</v>
      </c>
      <c r="E51" s="25" t="n">
        <f aca="false">IF(ISNUMBER(D51),C51/D51,"")</f>
        <v>0.897959183673469</v>
      </c>
      <c r="F51" s="25" t="n">
        <f aca="false">IF(AND($A51+(-24)&gt;=1,$A51+(-24)&lt;=$B$8),INDEX($E$12:$E$71,$A51+(-24)),"")</f>
        <v>0.857886517438834</v>
      </c>
      <c r="G51" s="25" t="n">
        <f aca="false">IF(AND($A51+(-12)&gt;=1,$A51+(-12)&lt;=$B$8),INDEX($E$12:$E$71,$A51+(-12)),"")</f>
        <v>0.946853602869254</v>
      </c>
      <c r="H51" s="25" t="n">
        <f aca="false">IF(AND($A51+(0)&gt;=1,$A51+(0)&lt;=$B$8),INDEX($E$12:$E$71,$A51+(0)),"")</f>
        <v>0.897959183673469</v>
      </c>
      <c r="I51" s="25" t="n">
        <f aca="false">IF(AND($A51+(12)&gt;=1,$A51+(12)&lt;=$B$8),INDEX($E$12:$E$71,$A51+(12)),"")</f>
        <v>0.978586095629217</v>
      </c>
      <c r="J51" s="25" t="str">
        <f aca="false">IF(AND($A51+(24)&gt;=1,$A51+(24)&lt;=$B$8),INDEX($E$12:$E$71,$A51+(24)),"")</f>
        <v/>
      </c>
      <c r="K51" s="25" t="n">
        <f aca="false">IF(SUMPRODUCT(Bobot_Filter!$B$38:$F$38,ISNUMBER(F51:J51)*1)&gt;0,SUMPRODUCT(Bobot_Filter!$B$38:$F$38,F51:J51)/SUMPRODUCT(Bobot_Filter!$B$38:$F$38,ISNUMBER(F51:J51)*1),"")</f>
        <v>0.925330433182023</v>
      </c>
      <c r="L51" s="25" t="n">
        <f aca="false">IF(AND($A51&gt;=$B$6,$A51&lt;=$B$7),SUMPRODUCT(Bobot_Filter!$B$4:$B$16,K45:K57),"")</f>
        <v>1.00350675505057</v>
      </c>
      <c r="M51" s="25" t="n">
        <f aca="false">K51/INDEX($L$12:$L$71,MAX($B$6,MIN($A51,$B$7)))</f>
        <v>0.922096865342365</v>
      </c>
      <c r="N51" s="27" t="n">
        <f aca="false">C51/M51</f>
        <v>250.515980134291</v>
      </c>
      <c r="O51" s="27" t="n">
        <f aca="false">IF(AND($A51&gt;=$B$6,$A51&lt;=$B$7),SUMPRODUCT(Bobot_Filter!$B$20:$B$32,N45:N57),"")</f>
        <v>250.850567118748</v>
      </c>
      <c r="P51" s="25" t="n">
        <f aca="false">IF(ISNUMBER(O51),C51/O51,"")</f>
        <v>0.920866963360894</v>
      </c>
      <c r="Q51" s="25" t="str">
        <f aca="false">IF(AND($A51+(-36)&gt;=1,$A51+(-36)&lt;=$B$8),INDEX($P$12:$P$71,$A51+(-36)),"")</f>
        <v/>
      </c>
      <c r="R51" s="25" t="n">
        <f aca="false">IF(AND($A51+(-24)&gt;=1,$A51+(-24)&lt;=$B$8),INDEX($P$12:$P$71,$A51+(-24)),"")</f>
        <v>0.869445103412822</v>
      </c>
      <c r="S51" s="25" t="n">
        <f aca="false">IF(AND($A51+(-12)&gt;=1,$A51+(-12)&lt;=$B$8),INDEX($P$12:$P$71,$A51+(-12)),"")</f>
        <v>0.938870773751043</v>
      </c>
      <c r="T51" s="25" t="n">
        <f aca="false">IF(AND($A51+(0)&gt;=1,$A51+(0)&lt;=$B$8),INDEX($P$12:$P$71,$A51+(0)),"")</f>
        <v>0.920866963360894</v>
      </c>
      <c r="U51" s="25" t="n">
        <f aca="false">IF(AND($A51+(12)&gt;=1,$A51+(12)&lt;=$B$8),INDEX($P$12:$P$71,$A51+(12)),"")</f>
        <v>0.958871147553512</v>
      </c>
      <c r="V51" s="25" t="str">
        <f aca="false">IF(AND($A51+(24)&gt;=1,$A51+(24)&lt;=$B$8),INDEX($P$12:$P$71,$A51+(24)),"")</f>
        <v/>
      </c>
      <c r="W51" s="25" t="str">
        <f aca="false">IF(AND($A51+(36)&gt;=1,$A51+(36)&lt;=$B$8),INDEX($P$12:$P$71,$A51+(36)),"")</f>
        <v/>
      </c>
      <c r="X51" s="25" t="n">
        <f aca="false">IF(SUMPRODUCT(Bobot_Filter!$B$43:$H$43,ISNUMBER(Q51:W51)*1)&gt;0,SUMPRODUCT(Bobot_Filter!$B$43:$H$43,Q51:W51)/SUMPRODUCT(Bobot_Filter!$B$43:$H$43,ISNUMBER(Q51:W51)*1),"")</f>
        <v>0.926792441892909</v>
      </c>
      <c r="Y51" s="25" t="n">
        <f aca="false">IF(AND($A51&gt;=$B$6,$A51&lt;=$B$7),SUMPRODUCT(Bobot_Filter!$B$4:$B$16,X45:X57),"")</f>
        <v>1.00150193680934</v>
      </c>
      <c r="Z51" s="33" t="n">
        <f aca="false">X51/INDEX($Y$12:$Y$71,MAX($B$6,MIN($A51,$B$7)))</f>
        <v>0.925402545745995</v>
      </c>
      <c r="AA51" s="27" t="n">
        <f aca="false">C51/Z51</f>
        <v>249.621098474269</v>
      </c>
      <c r="AB51" s="27" t="n">
        <f aca="false">IF(AND($A51&gt;=$B$6,$A51&lt;=$B$7),SUMPRODUCT(Bobot_Filter!$B$20:$B$32,AA45:AA57),"")</f>
        <v>249.985574509673</v>
      </c>
      <c r="AC51" s="25" t="n">
        <f aca="false">IF(ISNUMBER(AB51),AA51/AB51,"")</f>
        <v>0.998542011729598</v>
      </c>
      <c r="AD51" s="27" t="n">
        <f aca="false">$B$4+$B$3*A51</f>
        <v>263.190730243377</v>
      </c>
      <c r="AE51" s="27" t="n">
        <f aca="false">AD51*Z51</f>
        <v>243.557371783969</v>
      </c>
      <c r="AF51" s="28" t="n">
        <f aca="false">ABS(C51-AE51)/C51</f>
        <v>0.0543609168137166</v>
      </c>
    </row>
    <row r="52" customFormat="false" ht="15" hidden="false" customHeight="false" outlineLevel="0" collapsed="false">
      <c r="A52" s="8" t="n">
        <v>41</v>
      </c>
      <c r="B52" s="22" t="n">
        <f aca="false">Data!B45</f>
        <v>45566</v>
      </c>
      <c r="C52" s="23" t="n">
        <f aca="false">Data!E45</f>
        <v>227</v>
      </c>
      <c r="D52" s="27" t="n">
        <f aca="false">IF(AND($A52&gt;=$B$6,$A52&lt;=$B$7),SUMPRODUCT(Bobot_Filter!$B$4:$B$16,C46:C58),"")</f>
        <v>258.458333333333</v>
      </c>
      <c r="E52" s="25" t="n">
        <f aca="false">IF(ISNUMBER(D52),C52/D52,"")</f>
        <v>0.878284700951153</v>
      </c>
      <c r="F52" s="25" t="n">
        <f aca="false">IF(AND($A52+(-24)&gt;=1,$A52+(-24)&lt;=$B$8),INDEX($E$12:$E$71,$A52+(-24)),"")</f>
        <v>0.854489164086687</v>
      </c>
      <c r="G52" s="25" t="n">
        <f aca="false">IF(AND($A52+(-12)&gt;=1,$A52+(-12)&lt;=$B$8),INDEX($E$12:$E$71,$A52+(-12)),"")</f>
        <v>0.942019543973941</v>
      </c>
      <c r="H52" s="25" t="n">
        <f aca="false">IF(AND($A52+(0)&gt;=1,$A52+(0)&lt;=$B$8),INDEX($E$12:$E$71,$A52+(0)),"")</f>
        <v>0.878284700951153</v>
      </c>
      <c r="I52" s="25" t="n">
        <f aca="false">IF(AND($A52+(12)&gt;=1,$A52+(12)&lt;=$B$8),INDEX($E$12:$E$71,$A52+(12)),"")</f>
        <v>0.974299065420561</v>
      </c>
      <c r="J52" s="25" t="str">
        <f aca="false">IF(AND($A52+(24)&gt;=1,$A52+(24)&lt;=$B$8),INDEX($E$12:$E$71,$A52+(24)),"")</f>
        <v/>
      </c>
      <c r="K52" s="25" t="n">
        <f aca="false">IF(SUMPRODUCT(Bobot_Filter!$B$38:$F$38,ISNUMBER(F52:J52)*1)&gt;0,SUMPRODUCT(Bobot_Filter!$B$38:$F$38,F52:J52)/SUMPRODUCT(Bobot_Filter!$B$38:$F$38,ISNUMBER(F52:J52)*1),"")</f>
        <v>0.915247560716144</v>
      </c>
      <c r="L52" s="25" t="n">
        <f aca="false">IF(AND($A52&gt;=$B$6,$A52&lt;=$B$7),SUMPRODUCT(Bobot_Filter!$B$4:$B$16,K46:K58),"")</f>
        <v>1.00374859308267</v>
      </c>
      <c r="M52" s="25" t="n">
        <f aca="false">K52/INDEX($L$12:$L$71,MAX($B$6,MIN($A52,$B$7)))</f>
        <v>0.91182948302351</v>
      </c>
      <c r="N52" s="27" t="n">
        <f aca="false">C52/M52</f>
        <v>248.950055055576</v>
      </c>
      <c r="O52" s="27" t="n">
        <f aca="false">IF(AND($A52&gt;=$B$6,$A52&lt;=$B$7),SUMPRODUCT(Bobot_Filter!$B$20:$B$32,N46:N58),"")</f>
        <v>252.040342565035</v>
      </c>
      <c r="P52" s="25" t="n">
        <f aca="false">IF(ISNUMBER(O52),C52/O52,"")</f>
        <v>0.900649466231489</v>
      </c>
      <c r="Q52" s="25" t="str">
        <f aca="false">IF(AND($A52+(-36)&gt;=1,$A52+(-36)&lt;=$B$8),INDEX($P$12:$P$71,$A52+(-36)),"")</f>
        <v/>
      </c>
      <c r="R52" s="25" t="n">
        <f aca="false">IF(AND($A52+(-24)&gt;=1,$A52+(-24)&lt;=$B$8),INDEX($P$12:$P$71,$A52+(-24)),"")</f>
        <v>0.871651339333878</v>
      </c>
      <c r="S52" s="25" t="n">
        <f aca="false">IF(AND($A52+(-12)&gt;=1,$A52+(-12)&lt;=$B$8),INDEX($P$12:$P$71,$A52+(-12)),"")</f>
        <v>0.933110248488267</v>
      </c>
      <c r="T52" s="25" t="n">
        <f aca="false">IF(AND($A52+(0)&gt;=1,$A52+(0)&lt;=$B$8),INDEX($P$12:$P$71,$A52+(0)),"")</f>
        <v>0.900649466231489</v>
      </c>
      <c r="U52" s="25" t="n">
        <f aca="false">IF(AND($A52+(12)&gt;=1,$A52+(12)&lt;=$B$8),INDEX($P$12:$P$71,$A52+(12)),"")</f>
        <v>0.942294826369307</v>
      </c>
      <c r="V52" s="25" t="str">
        <f aca="false">IF(AND($A52+(24)&gt;=1,$A52+(24)&lt;=$B$8),INDEX($P$12:$P$71,$A52+(24)),"")</f>
        <v/>
      </c>
      <c r="W52" s="25" t="str">
        <f aca="false">IF(AND($A52+(36)&gt;=1,$A52+(36)&lt;=$B$8),INDEX($P$12:$P$71,$A52+(36)),"")</f>
        <v/>
      </c>
      <c r="X52" s="25" t="n">
        <f aca="false">IF(SUMPRODUCT(Bobot_Filter!$B$43:$H$43,ISNUMBER(Q52:W52)*1)&gt;0,SUMPRODUCT(Bobot_Filter!$B$43:$H$43,Q52:W52)/SUMPRODUCT(Bobot_Filter!$B$43:$H$43,ISNUMBER(Q52:W52)*1),"")</f>
        <v>0.91558784563045</v>
      </c>
      <c r="Y52" s="25" t="n">
        <f aca="false">IF(AND($A52&gt;=$B$6,$A52&lt;=$B$7),SUMPRODUCT(Bobot_Filter!$B$4:$B$16,X46:X58),"")</f>
        <v>1.0014687890608</v>
      </c>
      <c r="Z52" s="33" t="n">
        <f aca="false">X52/INDEX($Y$12:$Y$71,MAX($B$6,MIN($A52,$B$7)))</f>
        <v>0.914245012557112</v>
      </c>
      <c r="AA52" s="27" t="n">
        <f aca="false">C52/Z52</f>
        <v>248.292303356503</v>
      </c>
      <c r="AB52" s="27" t="n">
        <f aca="false">IF(AND($A52&gt;=$B$6,$A52&lt;=$B$7),SUMPRODUCT(Bobot_Filter!$B$20:$B$32,AA46:AA58),"")</f>
        <v>251.870488685334</v>
      </c>
      <c r="AC52" s="25" t="n">
        <f aca="false">IF(ISNUMBER(AB52),AA52/AB52,"")</f>
        <v>0.985793550695409</v>
      </c>
      <c r="AD52" s="27" t="n">
        <f aca="false">$B$4+$B$3*A52</f>
        <v>264.263528495276</v>
      </c>
      <c r="AE52" s="27" t="n">
        <f aca="false">AD52*Z52</f>
        <v>241.601612927551</v>
      </c>
      <c r="AF52" s="28" t="n">
        <f aca="false">ABS(C52-AE52)/C52</f>
        <v>0.0643242860244519</v>
      </c>
    </row>
    <row r="53" customFormat="false" ht="15" hidden="false" customHeight="false" outlineLevel="0" collapsed="false">
      <c r="A53" s="8" t="n">
        <v>42</v>
      </c>
      <c r="B53" s="22" t="n">
        <f aca="false">Data!B46</f>
        <v>45597</v>
      </c>
      <c r="C53" s="23" t="n">
        <f aca="false">Data!E46</f>
        <v>239</v>
      </c>
      <c r="D53" s="27" t="n">
        <f aca="false">IF(AND($A53&gt;=$B$6,$A53&lt;=$B$7),SUMPRODUCT(Bobot_Filter!$B$4:$B$16,C47:C59),"")</f>
        <v>257.416666666667</v>
      </c>
      <c r="E53" s="25" t="n">
        <f aca="false">IF(ISNUMBER(D53),C53/D53,"")</f>
        <v>0.928455810942053</v>
      </c>
      <c r="F53" s="25" t="n">
        <f aca="false">IF(AND($A53+(-24)&gt;=1,$A53+(-24)&lt;=$B$8),INDEX($E$12:$E$71,$A53+(-24)),"")</f>
        <v>0.939883201648918</v>
      </c>
      <c r="G53" s="25" t="n">
        <f aca="false">IF(AND($A53+(-12)&gt;=1,$A53+(-12)&lt;=$B$8),INDEX($E$12:$E$71,$A53+(-12)),"")</f>
        <v>0.923679060665362</v>
      </c>
      <c r="H53" s="25" t="n">
        <f aca="false">IF(AND($A53+(0)&gt;=1,$A53+(0)&lt;=$B$8),INDEX($E$12:$E$71,$A53+(0)),"")</f>
        <v>0.928455810942053</v>
      </c>
      <c r="I53" s="25" t="n">
        <f aca="false">IF(AND($A53+(12)&gt;=1,$A53+(12)&lt;=$B$8),INDEX($E$12:$E$71,$A53+(12)),"")</f>
        <v>0.966536288570187</v>
      </c>
      <c r="J53" s="25" t="str">
        <f aca="false">IF(AND($A53+(24)&gt;=1,$A53+(24)&lt;=$B$8),INDEX($E$12:$E$71,$A53+(24)),"")</f>
        <v/>
      </c>
      <c r="K53" s="25" t="n">
        <f aca="false">IF(SUMPRODUCT(Bobot_Filter!$B$38:$F$38,ISNUMBER(F53:J53)*1)&gt;0,SUMPRODUCT(Bobot_Filter!$B$38:$F$38,F53:J53)/SUMPRODUCT(Bobot_Filter!$B$38:$F$38,ISNUMBER(F53:J53)*1),"")</f>
        <v>0.938210166618272</v>
      </c>
      <c r="L53" s="25" t="n">
        <f aca="false">IF(AND($A53&gt;=$B$6,$A53&lt;=$B$7),SUMPRODUCT(Bobot_Filter!$B$4:$B$16,K47:K59),"")</f>
        <v>1.00028778645727</v>
      </c>
      <c r="M53" s="25" t="n">
        <f aca="false">K53/INDEX($L$12:$L$71,MAX($B$6,MIN($A53,$B$7)))</f>
        <v>0.937940240119438</v>
      </c>
      <c r="N53" s="27" t="n">
        <f aca="false">C53/M53</f>
        <v>254.81367551686</v>
      </c>
      <c r="O53" s="27" t="n">
        <f aca="false">IF(AND($A53&gt;=$B$6,$A53&lt;=$B$7),SUMPRODUCT(Bobot_Filter!$B$20:$B$32,N47:N59),"")</f>
        <v>254.785932907825</v>
      </c>
      <c r="P53" s="25" t="n">
        <f aca="false">IF(ISNUMBER(O53),C53/O53,"")</f>
        <v>0.938042368636044</v>
      </c>
      <c r="Q53" s="25" t="str">
        <f aca="false">IF(AND($A53+(-36)&gt;=1,$A53+(-36)&lt;=$B$8),INDEX($P$12:$P$71,$A53+(-36)),"")</f>
        <v/>
      </c>
      <c r="R53" s="25" t="n">
        <f aca="false">IF(AND($A53+(-24)&gt;=1,$A53+(-24)&lt;=$B$8),INDEX($P$12:$P$71,$A53+(-24)),"")</f>
        <v>0.952330223037439</v>
      </c>
      <c r="S53" s="25" t="n">
        <f aca="false">IF(AND($A53+(-12)&gt;=1,$A53+(-12)&lt;=$B$8),INDEX($P$12:$P$71,$A53+(-12)),"")</f>
        <v>0.914751655529918</v>
      </c>
      <c r="T53" s="25" t="n">
        <f aca="false">IF(AND($A53+(0)&gt;=1,$A53+(0)&lt;=$B$8),INDEX($P$12:$P$71,$A53+(0)),"")</f>
        <v>0.938042368636044</v>
      </c>
      <c r="U53" s="25" t="n">
        <f aca="false">IF(AND($A53+(12)&gt;=1,$A53+(12)&lt;=$B$8),INDEX($P$12:$P$71,$A53+(12)),"")</f>
        <v>0.937411194743086</v>
      </c>
      <c r="V53" s="25" t="str">
        <f aca="false">IF(AND($A53+(24)&gt;=1,$A53+(24)&lt;=$B$8),INDEX($P$12:$P$71,$A53+(24)),"")</f>
        <v/>
      </c>
      <c r="W53" s="25" t="str">
        <f aca="false">IF(AND($A53+(36)&gt;=1,$A53+(36)&lt;=$B$8),INDEX($P$12:$P$71,$A53+(36)),"")</f>
        <v/>
      </c>
      <c r="X53" s="25" t="n">
        <f aca="false">IF(SUMPRODUCT(Bobot_Filter!$B$43:$H$43,ISNUMBER(Q53:W53)*1)&gt;0,SUMPRODUCT(Bobot_Filter!$B$43:$H$43,Q53:W53)/SUMPRODUCT(Bobot_Filter!$B$43:$H$43,ISNUMBER(Q53:W53)*1),"")</f>
        <v>0.934116009345638</v>
      </c>
      <c r="Y53" s="25" t="n">
        <f aca="false">IF(AND($A53&gt;=$B$6,$A53&lt;=$B$7),SUMPRODUCT(Bobot_Filter!$B$4:$B$16,X47:X59),"")</f>
        <v>1.00024747966611</v>
      </c>
      <c r="Z53" s="33" t="n">
        <f aca="false">X53/INDEX($Y$12:$Y$71,MAX($B$6,MIN($A53,$B$7)))</f>
        <v>0.933884891824427</v>
      </c>
      <c r="AA53" s="27" t="n">
        <f aca="false">C53/Z53</f>
        <v>255.920191120227</v>
      </c>
      <c r="AB53" s="27" t="n">
        <f aca="false">IF(AND($A53&gt;=$B$6,$A53&lt;=$B$7),SUMPRODUCT(Bobot_Filter!$B$20:$B$32,AA47:AA59),"")</f>
        <v>255.986722329269</v>
      </c>
      <c r="AC53" s="25" t="n">
        <f aca="false">IF(ISNUMBER(AB53),AA53/AB53,"")</f>
        <v>0.999740098984681</v>
      </c>
      <c r="AD53" s="27" t="n">
        <f aca="false">$B$4+$B$3*A53</f>
        <v>265.336326747176</v>
      </c>
      <c r="AE53" s="27" t="n">
        <f aca="false">AD53*Z53</f>
        <v>247.793586801377</v>
      </c>
      <c r="AF53" s="28" t="n">
        <f aca="false">ABS(C53-AE53)/C53</f>
        <v>0.036793250214967</v>
      </c>
    </row>
    <row r="54" customFormat="false" ht="15" hidden="false" customHeight="false" outlineLevel="0" collapsed="false">
      <c r="A54" s="8" t="n">
        <v>43</v>
      </c>
      <c r="B54" s="22" t="n">
        <f aca="false">Data!B47</f>
        <v>45627</v>
      </c>
      <c r="C54" s="23" t="n">
        <f aca="false">Data!E47</f>
        <v>300</v>
      </c>
      <c r="D54" s="27" t="n">
        <f aca="false">IF(AND($A54&gt;=$B$6,$A54&lt;=$B$7),SUMPRODUCT(Bobot_Filter!$B$4:$B$16,C48:C60),"")</f>
        <v>257.75</v>
      </c>
      <c r="E54" s="25" t="n">
        <f aca="false">IF(ISNUMBER(D54),C54/D54,"")</f>
        <v>1.1639185257032</v>
      </c>
      <c r="F54" s="25" t="n">
        <f aca="false">IF(AND($A54+(-24)&gt;=1,$A54+(-24)&lt;=$B$8),INDEX($E$12:$E$71,$A54+(-24)),"")</f>
        <v>1.16348633316142</v>
      </c>
      <c r="G54" s="25" t="n">
        <f aca="false">IF(AND($A54+(-12)&gt;=1,$A54+(-12)&lt;=$B$8),INDEX($E$12:$E$71,$A54+(-12)),"")</f>
        <v>1.12536633018561</v>
      </c>
      <c r="H54" s="25" t="n">
        <f aca="false">IF(AND($A54+(0)&gt;=1,$A54+(0)&lt;=$B$8),INDEX($E$12:$E$71,$A54+(0)),"")</f>
        <v>1.1639185257032</v>
      </c>
      <c r="I54" s="25" t="str">
        <f aca="false">IF(AND($A54+(12)&gt;=1,$A54+(12)&lt;=$B$8),INDEX($E$12:$E$71,$A54+(12)),"")</f>
        <v/>
      </c>
      <c r="J54" s="25" t="str">
        <f aca="false">IF(AND($A54+(24)&gt;=1,$A54+(24)&lt;=$B$8),INDEX($E$12:$E$71,$A54+(24)),"")</f>
        <v/>
      </c>
      <c r="K54" s="25" t="n">
        <f aca="false">IF(SUMPRODUCT(Bobot_Filter!$B$38:$F$38,ISNUMBER(F54:J54)*1)&gt;0,SUMPRODUCT(Bobot_Filter!$B$38:$F$38,F54:J54)/SUMPRODUCT(Bobot_Filter!$B$38:$F$38,ISNUMBER(F54:J54)*1),"")</f>
        <v>1.15099576177371</v>
      </c>
      <c r="L54" s="25" t="n">
        <f aca="false">IF(AND($A54&gt;=$B$6,$A54&lt;=$B$7),SUMPRODUCT(Bobot_Filter!$B$4:$B$16,K48:K60),"")</f>
        <v>0.998488426543678</v>
      </c>
      <c r="M54" s="25" t="n">
        <f aca="false">K54/INDEX($L$12:$L$71,MAX($B$6,MIN($A54,$B$7)))</f>
        <v>1.15273821025442</v>
      </c>
      <c r="N54" s="27" t="n">
        <f aca="false">C54/M54</f>
        <v>260.249896577809</v>
      </c>
      <c r="O54" s="27" t="n">
        <f aca="false">IF(AND($A54&gt;=$B$6,$A54&lt;=$B$7),SUMPRODUCT(Bobot_Filter!$B$20:$B$32,N48:N60),"")</f>
        <v>258.096807832948</v>
      </c>
      <c r="P54" s="25" t="n">
        <f aca="false">IF(ISNUMBER(O54),C54/O54,"")</f>
        <v>1.1623545541647</v>
      </c>
      <c r="Q54" s="25" t="n">
        <f aca="false">IF(AND($A54+(-36)&gt;=1,$A54+(-36)&lt;=$B$8),INDEX($P$12:$P$71,$A54+(-36)),"")</f>
        <v>1.19852804972037</v>
      </c>
      <c r="R54" s="25" t="n">
        <f aca="false">IF(AND($A54+(-24)&gt;=1,$A54+(-24)&lt;=$B$8),INDEX($P$12:$P$71,$A54+(-24)),"")</f>
        <v>1.16547008619818</v>
      </c>
      <c r="S54" s="25" t="n">
        <f aca="false">IF(AND($A54+(-12)&gt;=1,$A54+(-12)&lt;=$B$8),INDEX($P$12:$P$71,$A54+(-12)),"")</f>
        <v>1.12064344496924</v>
      </c>
      <c r="T54" s="25" t="n">
        <f aca="false">IF(AND($A54+(0)&gt;=1,$A54+(0)&lt;=$B$8),INDEX($P$12:$P$71,$A54+(0)),"")</f>
        <v>1.1623545541647</v>
      </c>
      <c r="U54" s="25" t="str">
        <f aca="false">IF(AND($A54+(12)&gt;=1,$A54+(12)&lt;=$B$8),INDEX($P$12:$P$71,$A54+(12)),"")</f>
        <v/>
      </c>
      <c r="V54" s="25" t="str">
        <f aca="false">IF(AND($A54+(24)&gt;=1,$A54+(24)&lt;=$B$8),INDEX($P$12:$P$71,$A54+(24)),"")</f>
        <v/>
      </c>
      <c r="W54" s="25" t="str">
        <f aca="false">IF(AND($A54+(36)&gt;=1,$A54+(36)&lt;=$B$8),INDEX($P$12:$P$71,$A54+(36)),"")</f>
        <v/>
      </c>
      <c r="X54" s="25" t="n">
        <f aca="false">IF(SUMPRODUCT(Bobot_Filter!$B$43:$H$43,ISNUMBER(Q54:W54)*1)&gt;0,SUMPRODUCT(Bobot_Filter!$B$43:$H$43,Q54:W54)/SUMPRODUCT(Bobot_Filter!$B$43:$H$43,ISNUMBER(Q54:W54)*1),"")</f>
        <v>1.1531624688354</v>
      </c>
      <c r="Y54" s="25" t="n">
        <f aca="false">IF(AND($A54&gt;=$B$6,$A54&lt;=$B$7),SUMPRODUCT(Bobot_Filter!$B$4:$B$16,X48:X60),"")</f>
        <v>0.999762868270244</v>
      </c>
      <c r="Z54" s="33" t="n">
        <f aca="false">X54/INDEX($Y$12:$Y$71,MAX($B$6,MIN($A54,$B$7)))</f>
        <v>1.15343598510571</v>
      </c>
      <c r="AA54" s="27" t="n">
        <f aca="false">C54/Z54</f>
        <v>260.092457556287</v>
      </c>
      <c r="AB54" s="27" t="n">
        <f aca="false">IF(AND($A54&gt;=$B$6,$A54&lt;=$B$7),SUMPRODUCT(Bobot_Filter!$B$20:$B$32,AA48:AA60),"")</f>
        <v>260.855453729214</v>
      </c>
      <c r="AC54" s="25" t="n">
        <f aca="false">IF(ISNUMBER(AB54),AA54/AB54,"")</f>
        <v>0.997075023113301</v>
      </c>
      <c r="AD54" s="27" t="n">
        <f aca="false">$B$4+$B$3*A54</f>
        <v>266.409124999075</v>
      </c>
      <c r="AE54" s="27" t="n">
        <f aca="false">AD54*Z54</f>
        <v>307.285871534458</v>
      </c>
      <c r="AF54" s="28" t="n">
        <f aca="false">ABS(C54-AE54)/C54</f>
        <v>0.0242862384481924</v>
      </c>
    </row>
    <row r="55" customFormat="false" ht="15" hidden="false" customHeight="false" outlineLevel="0" collapsed="false">
      <c r="A55" s="8" t="n">
        <v>44</v>
      </c>
      <c r="B55" s="22" t="n">
        <f aca="false">Data!B48</f>
        <v>45658</v>
      </c>
      <c r="C55" s="23" t="n">
        <f aca="false">Data!E48</f>
        <v>278</v>
      </c>
      <c r="D55" s="27" t="n">
        <f aca="false">IF(AND($A55&gt;=$B$6,$A55&lt;=$B$7),SUMPRODUCT(Bobot_Filter!$B$4:$B$16,C49:C61),"")</f>
        <v>258.791666666667</v>
      </c>
      <c r="E55" s="25" t="n">
        <f aca="false">IF(ISNUMBER(D55),C55/D55,"")</f>
        <v>1.07422315247142</v>
      </c>
      <c r="F55" s="25" t="n">
        <f aca="false">IF(AND($A55+(-24)&gt;=1,$A55+(-24)&lt;=$B$8),INDEX($E$12:$E$71,$A55+(-24)),"")</f>
        <v>1.07205202806777</v>
      </c>
      <c r="G55" s="25" t="n">
        <f aca="false">IF(AND($A55+(-12)&gt;=1,$A55+(-12)&lt;=$B$8),INDEX($E$12:$E$71,$A55+(-12)),"")</f>
        <v>1.08379523964786</v>
      </c>
      <c r="H55" s="25" t="n">
        <f aca="false">IF(AND($A55+(0)&gt;=1,$A55+(0)&lt;=$B$8),INDEX($E$12:$E$71,$A55+(0)),"")</f>
        <v>1.07422315247142</v>
      </c>
      <c r="I55" s="25" t="str">
        <f aca="false">IF(AND($A55+(12)&gt;=1,$A55+(12)&lt;=$B$8),INDEX($E$12:$E$71,$A55+(12)),"")</f>
        <v/>
      </c>
      <c r="J55" s="25" t="str">
        <f aca="false">IF(AND($A55+(24)&gt;=1,$A55+(24)&lt;=$B$8),INDEX($E$12:$E$71,$A55+(24)),"")</f>
        <v/>
      </c>
      <c r="K55" s="25" t="n">
        <f aca="false">IF(SUMPRODUCT(Bobot_Filter!$B$38:$F$38,ISNUMBER(F55:J55)*1)&gt;0,SUMPRODUCT(Bobot_Filter!$B$38:$F$38,F55:J55)/SUMPRODUCT(Bobot_Filter!$B$38:$F$38,ISNUMBER(F55:J55)*1),"")</f>
        <v>1.07705199412963</v>
      </c>
      <c r="L55" s="25" t="n">
        <f aca="false">IF(AND($A55&gt;=$B$6,$A55&lt;=$B$7),SUMPRODUCT(Bobot_Filter!$B$4:$B$16,K49:K61),"")</f>
        <v>0.997099498211691</v>
      </c>
      <c r="M55" s="25" t="n">
        <f aca="false">K55/INDEX($L$12:$L$71,MAX($B$6,MIN($A55,$B$7)))</f>
        <v>1.08018507286518</v>
      </c>
      <c r="N55" s="27" t="n">
        <f aca="false">C55/M55</f>
        <v>257.363304662791</v>
      </c>
      <c r="O55" s="27" t="n">
        <f aca="false">IF(AND($A55&gt;=$B$6,$A55&lt;=$B$7),SUMPRODUCT(Bobot_Filter!$B$20:$B$32,N49:N61),"")</f>
        <v>260.848464410028</v>
      </c>
      <c r="P55" s="25" t="n">
        <f aca="false">IF(ISNUMBER(O55),C55/O55,"")</f>
        <v>1.06575287160982</v>
      </c>
      <c r="Q55" s="25" t="n">
        <f aca="false">IF(AND($A55+(-36)&gt;=1,$A55+(-36)&lt;=$B$8),INDEX($P$12:$P$71,$A55+(-36)),"")</f>
        <v>1.07604872572631</v>
      </c>
      <c r="R55" s="25" t="n">
        <f aca="false">IF(AND($A55+(-24)&gt;=1,$A55+(-24)&lt;=$B$8),INDEX($P$12:$P$71,$A55+(-24)),"")</f>
        <v>1.06855250092592</v>
      </c>
      <c r="S55" s="25" t="n">
        <f aca="false">IF(AND($A55+(-12)&gt;=1,$A55+(-12)&lt;=$B$8),INDEX($P$12:$P$71,$A55+(-12)),"")</f>
        <v>1.08111664274067</v>
      </c>
      <c r="T55" s="25" t="n">
        <f aca="false">IF(AND($A55+(0)&gt;=1,$A55+(0)&lt;=$B$8),INDEX($P$12:$P$71,$A55+(0)),"")</f>
        <v>1.06575287160982</v>
      </c>
      <c r="U55" s="25" t="str">
        <f aca="false">IF(AND($A55+(12)&gt;=1,$A55+(12)&lt;=$B$8),INDEX($P$12:$P$71,$A55+(12)),"")</f>
        <v/>
      </c>
      <c r="V55" s="25" t="str">
        <f aca="false">IF(AND($A55+(24)&gt;=1,$A55+(24)&lt;=$B$8),INDEX($P$12:$P$71,$A55+(24)),"")</f>
        <v/>
      </c>
      <c r="W55" s="25" t="str">
        <f aca="false">IF(AND($A55+(36)&gt;=1,$A55+(36)&lt;=$B$8),INDEX($P$12:$P$71,$A55+(36)),"")</f>
        <v/>
      </c>
      <c r="X55" s="25" t="n">
        <f aca="false">IF(SUMPRODUCT(Bobot_Filter!$B$43:$H$43,ISNUMBER(Q55:W55)*1)&gt;0,SUMPRODUCT(Bobot_Filter!$B$43:$H$43,Q55:W55)/SUMPRODUCT(Bobot_Filter!$B$43:$H$43,ISNUMBER(Q55:W55)*1),"")</f>
        <v>1.07264025229218</v>
      </c>
      <c r="Y55" s="25" t="n">
        <f aca="false">IF(AND($A55&gt;=$B$6,$A55&lt;=$B$7),SUMPRODUCT(Bobot_Filter!$B$4:$B$16,X49:X61),"")</f>
        <v>0.999448126856132</v>
      </c>
      <c r="Z55" s="33" t="n">
        <f aca="false">X55/INDEX($Y$12:$Y$71,MAX($B$6,MIN($A55,$B$7)))</f>
        <v>1.07323254050841</v>
      </c>
      <c r="AA55" s="27" t="n">
        <f aca="false">C55/Z55</f>
        <v>259.030535794512</v>
      </c>
      <c r="AB55" s="27" t="n">
        <f aca="false">IF(AND($A55&gt;=$B$6,$A55&lt;=$B$7),SUMPRODUCT(Bobot_Filter!$B$20:$B$32,AA49:AA61),"")</f>
        <v>264.479583775877</v>
      </c>
      <c r="AC55" s="25" t="n">
        <f aca="false">IF(ISNUMBER(AB55),AA55/AB55,"")</f>
        <v>0.979397094083518</v>
      </c>
      <c r="AD55" s="27" t="n">
        <f aca="false">$B$4+$B$3*A55</f>
        <v>267.481923250975</v>
      </c>
      <c r="AE55" s="27" t="n">
        <f aca="false">AD55*Z55</f>
        <v>287.07030403072</v>
      </c>
      <c r="AF55" s="28" t="n">
        <f aca="false">ABS(C55-AE55)/C55</f>
        <v>0.0326269929162595</v>
      </c>
    </row>
    <row r="56" customFormat="false" ht="15" hidden="false" customHeight="false" outlineLevel="0" collapsed="false">
      <c r="A56" s="8" t="n">
        <v>45</v>
      </c>
      <c r="B56" s="22" t="n">
        <f aca="false">Data!B49</f>
        <v>45689</v>
      </c>
      <c r="C56" s="23" t="n">
        <f aca="false">Data!E49</f>
        <v>254</v>
      </c>
      <c r="D56" s="27" t="n">
        <f aca="false">IF(AND($A56&gt;=$B$6,$A56&lt;=$B$7),SUMPRODUCT(Bobot_Filter!$B$4:$B$16,C50:C62),"")</f>
        <v>260.708333333333</v>
      </c>
      <c r="E56" s="25" t="n">
        <f aca="false">IF(ISNUMBER(D56),C56/D56,"")</f>
        <v>0.974268818922807</v>
      </c>
      <c r="F56" s="25" t="n">
        <f aca="false">IF(AND($A56+(-24)&gt;=1,$A56+(-24)&lt;=$B$8),INDEX($E$12:$E$71,$A56+(-24)),"")</f>
        <v>0.932674279870462</v>
      </c>
      <c r="G56" s="25" t="n">
        <f aca="false">IF(AND($A56+(-12)&gt;=1,$A56+(-12)&lt;=$B$8),INDEX($E$12:$E$71,$A56+(-12)),"")</f>
        <v>0.971755102040816</v>
      </c>
      <c r="H56" s="25" t="n">
        <f aca="false">IF(AND($A56+(0)&gt;=1,$A56+(0)&lt;=$B$8),INDEX($E$12:$E$71,$A56+(0)),"")</f>
        <v>0.974268818922807</v>
      </c>
      <c r="I56" s="25" t="str">
        <f aca="false">IF(AND($A56+(12)&gt;=1,$A56+(12)&lt;=$B$8),INDEX($E$12:$E$71,$A56+(12)),"")</f>
        <v/>
      </c>
      <c r="J56" s="25" t="str">
        <f aca="false">IF(AND($A56+(24)&gt;=1,$A56+(24)&lt;=$B$8),INDEX($E$12:$E$71,$A56+(24)),"")</f>
        <v/>
      </c>
      <c r="K56" s="25" t="n">
        <f aca="false">IF(SUMPRODUCT(Bobot_Filter!$B$38:$F$38,ISNUMBER(F56:J56)*1)&gt;0,SUMPRODUCT(Bobot_Filter!$B$38:$F$38,F56:J56)/SUMPRODUCT(Bobot_Filter!$B$38:$F$38,ISNUMBER(F56:J56)*1),"")</f>
        <v>0.966498490120086</v>
      </c>
      <c r="L56" s="25" t="n">
        <f aca="false">IF(AND($A56&gt;=$B$6,$A56&lt;=$B$7),SUMPRODUCT(Bobot_Filter!$B$4:$B$16,K50:K62),"")</f>
        <v>0.996403141785377</v>
      </c>
      <c r="M56" s="25" t="n">
        <f aca="false">K56/INDEX($L$12:$L$71,MAX($B$6,MIN($A56,$B$7)))</f>
        <v>0.969987397257994</v>
      </c>
      <c r="N56" s="27" t="n">
        <f aca="false">C56/M56</f>
        <v>261.859072311681</v>
      </c>
      <c r="O56" s="27" t="n">
        <f aca="false">IF(AND($A56&gt;=$B$6,$A56&lt;=$B$7),SUMPRODUCT(Bobot_Filter!$B$20:$B$32,N50:N62),"")</f>
        <v>262.408680261713</v>
      </c>
      <c r="P56" s="25" t="n">
        <f aca="false">IF(ISNUMBER(O56),C56/O56,"")</f>
        <v>0.967955784643531</v>
      </c>
      <c r="Q56" s="25" t="n">
        <f aca="false">IF(AND($A56+(-36)&gt;=1,$A56+(-36)&lt;=$B$8),INDEX($P$12:$P$71,$A56+(-36)),"")</f>
        <v>0.794191857930822</v>
      </c>
      <c r="R56" s="25" t="n">
        <f aca="false">IF(AND($A56+(-24)&gt;=1,$A56+(-24)&lt;=$B$8),INDEX($P$12:$P$71,$A56+(-24)),"")</f>
        <v>0.926226039020493</v>
      </c>
      <c r="S56" s="25" t="n">
        <f aca="false">IF(AND($A56+(-12)&gt;=1,$A56+(-12)&lt;=$B$8),INDEX($P$12:$P$71,$A56+(-12)),"")</f>
        <v>0.969582287147829</v>
      </c>
      <c r="T56" s="25" t="n">
        <f aca="false">IF(AND($A56+(0)&gt;=1,$A56+(0)&lt;=$B$8),INDEX($P$12:$P$71,$A56+(0)),"")</f>
        <v>0.967955784643531</v>
      </c>
      <c r="U56" s="25" t="str">
        <f aca="false">IF(AND($A56+(12)&gt;=1,$A56+(12)&lt;=$B$8),INDEX($P$12:$P$71,$A56+(12)),"")</f>
        <v/>
      </c>
      <c r="V56" s="25" t="str">
        <f aca="false">IF(AND($A56+(24)&gt;=1,$A56+(24)&lt;=$B$8),INDEX($P$12:$P$71,$A56+(24)),"")</f>
        <v/>
      </c>
      <c r="W56" s="25" t="str">
        <f aca="false">IF(AND($A56+(36)&gt;=1,$A56+(36)&lt;=$B$8),INDEX($P$12:$P$71,$A56+(36)),"")</f>
        <v/>
      </c>
      <c r="X56" s="25" t="n">
        <f aca="false">IF(SUMPRODUCT(Bobot_Filter!$B$43:$H$43,ISNUMBER(Q56:W56)*1)&gt;0,SUMPRODUCT(Bobot_Filter!$B$43:$H$43,Q56:W56)/SUMPRODUCT(Bobot_Filter!$B$43:$H$43,ISNUMBER(Q56:W56)*1),"")</f>
        <v>0.939917572371766</v>
      </c>
      <c r="Y56" s="25" t="n">
        <f aca="false">IF(AND($A56&gt;=$B$6,$A56&lt;=$B$7),SUMPRODUCT(Bobot_Filter!$B$4:$B$16,X50:X62),"")</f>
        <v>0.999231645351938</v>
      </c>
      <c r="Z56" s="33" t="n">
        <f aca="false">X56/INDEX($Y$12:$Y$71,MAX($B$6,MIN($A56,$B$7)))</f>
        <v>0.94064031773205</v>
      </c>
      <c r="AA56" s="27" t="n">
        <f aca="false">C56/Z56</f>
        <v>270.028825271292</v>
      </c>
      <c r="AB56" s="27" t="n">
        <f aca="false">IF(AND($A56&gt;=$B$6,$A56&lt;=$B$7),SUMPRODUCT(Bobot_Filter!$B$20:$B$32,AA50:AA62),"")</f>
        <v>265.577427832437</v>
      </c>
      <c r="AC56" s="25" t="n">
        <f aca="false">IF(ISNUMBER(AB56),AA56/AB56,"")</f>
        <v>1.01676120397424</v>
      </c>
      <c r="AD56" s="27" t="n">
        <f aca="false">$B$4+$B$3*A56</f>
        <v>268.554721502874</v>
      </c>
      <c r="AE56" s="27" t="n">
        <f aca="false">AD56*Z56</f>
        <v>252.613398562906</v>
      </c>
      <c r="AF56" s="28" t="n">
        <f aca="false">ABS(C56-AE56)/C56</f>
        <v>0.00545906077596214</v>
      </c>
    </row>
    <row r="57" customFormat="false" ht="15" hidden="false" customHeight="false" outlineLevel="0" collapsed="false">
      <c r="A57" s="8" t="n">
        <v>46</v>
      </c>
      <c r="B57" s="22" t="n">
        <f aca="false">Data!B50</f>
        <v>45717</v>
      </c>
      <c r="C57" s="23" t="n">
        <f aca="false">Data!E50</f>
        <v>336</v>
      </c>
      <c r="D57" s="27" t="n">
        <f aca="false">IF(AND($A57&gt;=$B$6,$A57&lt;=$B$7),SUMPRODUCT(Bobot_Filter!$B$4:$B$16,C51:C63),"")</f>
        <v>263.791666666667</v>
      </c>
      <c r="E57" s="25" t="n">
        <f aca="false">IF(ISNUMBER(D57),C57/D57,"")</f>
        <v>1.27373242773653</v>
      </c>
      <c r="F57" s="25" t="n">
        <f aca="false">IF(AND($A57+(-24)&gt;=1,$A57+(-24)&lt;=$B$8),INDEX($E$12:$E$71,$A57+(-24)),"")</f>
        <v>1.04029800203183</v>
      </c>
      <c r="G57" s="25" t="n">
        <f aca="false">IF(AND($A57+(-12)&gt;=1,$A57+(-12)&lt;=$B$8),INDEX($E$12:$E$71,$A57+(-12)),"")</f>
        <v>1.09929658105676</v>
      </c>
      <c r="H57" s="25" t="n">
        <f aca="false">IF(AND($A57+(0)&gt;=1,$A57+(0)&lt;=$B$8),INDEX($E$12:$E$71,$A57+(0)),"")</f>
        <v>1.27373242773653</v>
      </c>
      <c r="I57" s="25" t="str">
        <f aca="false">IF(AND($A57+(12)&gt;=1,$A57+(12)&lt;=$B$8),INDEX($E$12:$E$71,$A57+(12)),"")</f>
        <v/>
      </c>
      <c r="J57" s="25" t="str">
        <f aca="false">IF(AND($A57+(24)&gt;=1,$A57+(24)&lt;=$B$8),INDEX($E$12:$E$71,$A57+(24)),"")</f>
        <v/>
      </c>
      <c r="K57" s="25" t="n">
        <f aca="false">IF(SUMPRODUCT(Bobot_Filter!$B$38:$F$38,ISNUMBER(F57:J57)*1)&gt;0,SUMPRODUCT(Bobot_Filter!$B$38:$F$38,F57:J57)/SUMPRODUCT(Bobot_Filter!$B$38:$F$38,ISNUMBER(F57:J57)*1),"")</f>
        <v>1.17668140789249</v>
      </c>
      <c r="L57" s="25" t="n">
        <f aca="false">IF(AND($A57&gt;=$B$6,$A57&lt;=$B$7),SUMPRODUCT(Bobot_Filter!$B$4:$B$16,K51:K63),"")</f>
        <v>0.997097437267659</v>
      </c>
      <c r="M57" s="25" t="n">
        <f aca="false">K57/INDEX($L$12:$L$71,MAX($B$6,MIN($A57,$B$7)))</f>
        <v>1.18010674174126</v>
      </c>
      <c r="N57" s="27" t="n">
        <f aca="false">C57/M57</f>
        <v>284.720007195476</v>
      </c>
      <c r="O57" s="27" t="n">
        <f aca="false">IF(AND($A57&gt;=$B$6,$A57&lt;=$B$7),SUMPRODUCT(Bobot_Filter!$B$20:$B$32,N51:N63),"")</f>
        <v>262.868238866178</v>
      </c>
      <c r="P57" s="25" t="n">
        <f aca="false">IF(ISNUMBER(O57),C57/O57,"")</f>
        <v>1.27820691251731</v>
      </c>
      <c r="Q57" s="25" t="n">
        <f aca="false">IF(AND($A57+(-36)&gt;=1,$A57+(-36)&lt;=$B$8),INDEX($P$12:$P$71,$A57+(-36)),"")</f>
        <v>0.985511996240801</v>
      </c>
      <c r="R57" s="25" t="n">
        <f aca="false">IF(AND($A57+(-24)&gt;=1,$A57+(-24)&lt;=$B$8),INDEX($P$12:$P$71,$A57+(-24)),"")</f>
        <v>1.03484173452625</v>
      </c>
      <c r="S57" s="25" t="n">
        <f aca="false">IF(AND($A57+(-12)&gt;=1,$A57+(-12)&lt;=$B$8),INDEX($P$12:$P$71,$A57+(-12)),"")</f>
        <v>1.09552188569791</v>
      </c>
      <c r="T57" s="25" t="n">
        <f aca="false">IF(AND($A57+(0)&gt;=1,$A57+(0)&lt;=$B$8),INDEX($P$12:$P$71,$A57+(0)),"")</f>
        <v>1.27820691251731</v>
      </c>
      <c r="U57" s="25" t="str">
        <f aca="false">IF(AND($A57+(12)&gt;=1,$A57+(12)&lt;=$B$8),INDEX($P$12:$P$71,$A57+(12)),"")</f>
        <v/>
      </c>
      <c r="V57" s="25" t="str">
        <f aca="false">IF(AND($A57+(24)&gt;=1,$A57+(24)&lt;=$B$8),INDEX($P$12:$P$71,$A57+(24)),"")</f>
        <v/>
      </c>
      <c r="W57" s="25" t="str">
        <f aca="false">IF(AND($A57+(36)&gt;=1,$A57+(36)&lt;=$B$8),INDEX($P$12:$P$71,$A57+(36)),"")</f>
        <v/>
      </c>
      <c r="X57" s="25" t="n">
        <f aca="false">IF(SUMPRODUCT(Bobot_Filter!$B$43:$H$43,ISNUMBER(Q57:W57)*1)&gt;0,SUMPRODUCT(Bobot_Filter!$B$43:$H$43,Q57:W57)/SUMPRODUCT(Bobot_Filter!$B$43:$H$43,ISNUMBER(Q57:W57)*1),"")</f>
        <v>1.13070909554877</v>
      </c>
      <c r="Y57" s="25" t="n">
        <f aca="false">IF(AND($A57&gt;=$B$6,$A57&lt;=$B$7),SUMPRODUCT(Bobot_Filter!$B$4:$B$16,X51:X63),"")</f>
        <v>0.999329911290714</v>
      </c>
      <c r="Z57" s="33" t="n">
        <f aca="false">X57/INDEX($Y$12:$Y$71,MAX($B$6,MIN($A57,$B$7)))</f>
        <v>1.13146727899736</v>
      </c>
      <c r="AA57" s="27" t="n">
        <f aca="false">C57/Z57</f>
        <v>296.959537617159</v>
      </c>
      <c r="AB57" s="27" t="n">
        <f aca="false">IF(AND($A57&gt;=$B$6,$A57&lt;=$B$7),SUMPRODUCT(Bobot_Filter!$B$20:$B$32,AA51:AA63),"")</f>
        <v>264.10063810196</v>
      </c>
      <c r="AC57" s="25" t="n">
        <f aca="false">IF(ISNUMBER(AB57),AA57/AB57,"")</f>
        <v>1.12441809967348</v>
      </c>
      <c r="AD57" s="27" t="n">
        <f aca="false">$B$4+$B$3*A57</f>
        <v>269.627519754774</v>
      </c>
      <c r="AE57" s="27" t="n">
        <f aca="false">AD57*Z57</f>
        <v>305.074716119739</v>
      </c>
      <c r="AF57" s="28" t="n">
        <f aca="false">ABS(C57-AE57)/C57</f>
        <v>0.0920395353579184</v>
      </c>
    </row>
    <row r="58" customFormat="false" ht="15" hidden="false" customHeight="false" outlineLevel="0" collapsed="false">
      <c r="A58" s="8" t="n">
        <v>47</v>
      </c>
      <c r="B58" s="22" t="n">
        <f aca="false">Data!B51</f>
        <v>45748</v>
      </c>
      <c r="C58" s="23" t="n">
        <f aca="false">Data!E51</f>
        <v>266</v>
      </c>
      <c r="D58" s="27" t="n">
        <f aca="false">IF(AND($A58&gt;=$B$6,$A58&lt;=$B$7),SUMPRODUCT(Bobot_Filter!$B$4:$B$16,C52:C64),"")</f>
        <v>267.875</v>
      </c>
      <c r="E58" s="25" t="n">
        <f aca="false">IF(ISNUMBER(D58),C58/D58,"")</f>
        <v>0.993000466635558</v>
      </c>
      <c r="F58" s="25" t="n">
        <f aca="false">IF(AND($A58+(-24)&gt;=1,$A58+(-24)&lt;=$B$8),INDEX($E$12:$E$71,$A58+(-24)),"")</f>
        <v>1.24899598393574</v>
      </c>
      <c r="G58" s="25" t="n">
        <f aca="false">IF(AND($A58+(-12)&gt;=1,$A58+(-12)&lt;=$B$8),INDEX($E$12:$E$71,$A58+(-12)),"")</f>
        <v>1.15505913272011</v>
      </c>
      <c r="H58" s="25" t="n">
        <f aca="false">IF(AND($A58+(0)&gt;=1,$A58+(0)&lt;=$B$8),INDEX($E$12:$E$71,$A58+(0)),"")</f>
        <v>0.993000466635558</v>
      </c>
      <c r="I58" s="25" t="str">
        <f aca="false">IF(AND($A58+(12)&gt;=1,$A58+(12)&lt;=$B$8),INDEX($E$12:$E$71,$A58+(12)),"")</f>
        <v/>
      </c>
      <c r="J58" s="25" t="str">
        <f aca="false">IF(AND($A58+(24)&gt;=1,$A58+(24)&lt;=$B$8),INDEX($E$12:$E$71,$A58+(24)),"")</f>
        <v/>
      </c>
      <c r="K58" s="25" t="n">
        <f aca="false">IF(SUMPRODUCT(Bobot_Filter!$B$38:$F$38,ISNUMBER(F58:J58)*1)&gt;0,SUMPRODUCT(Bobot_Filter!$B$38:$F$38,F58:J58)/SUMPRODUCT(Bobot_Filter!$B$38:$F$38,ISNUMBER(F58:J58)*1),"")</f>
        <v>1.0896859415471</v>
      </c>
      <c r="L58" s="25" t="n">
        <f aca="false">IF(AND($A58&gt;=$B$6,$A58&lt;=$B$7),SUMPRODUCT(Bobot_Filter!$B$4:$B$16,K52:K64),"")</f>
        <v>0.998879023627747</v>
      </c>
      <c r="M58" s="25" t="n">
        <f aca="false">K58/INDEX($L$12:$L$71,MAX($B$6,MIN($A58,$B$7)))</f>
        <v>1.09090882456372</v>
      </c>
      <c r="N58" s="27" t="n">
        <f aca="false">C58/M58</f>
        <v>243.833392865237</v>
      </c>
      <c r="O58" s="27" t="n">
        <f aca="false">IF(AND($A58&gt;=$B$6,$A58&lt;=$B$7),SUMPRODUCT(Bobot_Filter!$B$20:$B$32,N52:N64),"")</f>
        <v>263.226417844837</v>
      </c>
      <c r="P58" s="25" t="n">
        <f aca="false">IF(ISNUMBER(O58),C58/O58,"")</f>
        <v>1.0105368685175</v>
      </c>
      <c r="Q58" s="25" t="n">
        <f aca="false">IF(AND($A58+(-36)&gt;=1,$A58+(-36)&lt;=$B$8),INDEX($P$12:$P$71,$A58+(-36)),"")</f>
        <v>1.27508889274968</v>
      </c>
      <c r="R58" s="25" t="n">
        <f aca="false">IF(AND($A58+(-24)&gt;=1,$A58+(-24)&lt;=$B$8),INDEX($P$12:$P$71,$A58+(-24)),"")</f>
        <v>1.25387261773949</v>
      </c>
      <c r="S58" s="25" t="n">
        <f aca="false">IF(AND($A58+(-12)&gt;=1,$A58+(-12)&lt;=$B$8),INDEX($P$12:$P$71,$A58+(-12)),"")</f>
        <v>1.1472374888902</v>
      </c>
      <c r="T58" s="25" t="n">
        <f aca="false">IF(AND($A58+(0)&gt;=1,$A58+(0)&lt;=$B$8),INDEX($P$12:$P$71,$A58+(0)),"")</f>
        <v>1.0105368685175</v>
      </c>
      <c r="U58" s="25" t="str">
        <f aca="false">IF(AND($A58+(12)&gt;=1,$A58+(12)&lt;=$B$8),INDEX($P$12:$P$71,$A58+(12)),"")</f>
        <v/>
      </c>
      <c r="V58" s="25" t="str">
        <f aca="false">IF(AND($A58+(24)&gt;=1,$A58+(24)&lt;=$B$8),INDEX($P$12:$P$71,$A58+(24)),"")</f>
        <v/>
      </c>
      <c r="W58" s="25" t="str">
        <f aca="false">IF(AND($A58+(36)&gt;=1,$A58+(36)&lt;=$B$8),INDEX($P$12:$P$71,$A58+(36)),"")</f>
        <v/>
      </c>
      <c r="X58" s="25" t="n">
        <f aca="false">IF(SUMPRODUCT(Bobot_Filter!$B$43:$H$43,ISNUMBER(Q58:W58)*1)&gt;0,SUMPRODUCT(Bobot_Filter!$B$43:$H$43,Q58:W58)/SUMPRODUCT(Bobot_Filter!$B$43:$H$43,ISNUMBER(Q58:W58)*1),"")</f>
        <v>1.13957302227242</v>
      </c>
      <c r="Y58" s="25" t="n">
        <f aca="false">IF(AND($A58&gt;=$B$6,$A58&lt;=$B$7),SUMPRODUCT(Bobot_Filter!$B$4:$B$16,X52:X64),"")</f>
        <v>0.999661777540995</v>
      </c>
      <c r="Z58" s="33" t="n">
        <f aca="false">X58/INDEX($Y$12:$Y$71,MAX($B$6,MIN($A58,$B$7)))</f>
        <v>1.13995858186714</v>
      </c>
      <c r="AA58" s="27" t="n">
        <f aca="false">C58/Z58</f>
        <v>233.341811036957</v>
      </c>
      <c r="AB58" s="27" t="n">
        <f aca="false">IF(AND($A58&gt;=$B$6,$A58&lt;=$B$7),SUMPRODUCT(Bobot_Filter!$B$20:$B$32,AA52:AA64),"")</f>
        <v>261.713223198038</v>
      </c>
      <c r="AC58" s="25" t="n">
        <f aca="false">IF(ISNUMBER(AB58),AA58/AB58,"")</f>
        <v>0.891593509053948</v>
      </c>
      <c r="AD58" s="27" t="n">
        <f aca="false">$B$4+$B$3*A58</f>
        <v>270.700318006673</v>
      </c>
      <c r="AE58" s="27" t="n">
        <f aca="false">AD58*Z58</f>
        <v>308.587150625871</v>
      </c>
      <c r="AF58" s="28" t="n">
        <f aca="false">ABS(C58-AE58)/C58</f>
        <v>0.16010207002207</v>
      </c>
    </row>
    <row r="59" customFormat="false" ht="15" hidden="false" customHeight="false" outlineLevel="0" collapsed="false">
      <c r="A59" s="8" t="n">
        <v>48</v>
      </c>
      <c r="B59" s="22" t="n">
        <f aca="false">Data!B52</f>
        <v>45778</v>
      </c>
      <c r="C59" s="23" t="n">
        <f aca="false">Data!E52</f>
        <v>243</v>
      </c>
      <c r="D59" s="27" t="n">
        <f aca="false">IF(AND($A59&gt;=$B$6,$A59&lt;=$B$7),SUMPRODUCT(Bobot_Filter!$B$4:$B$16,C53:C65),"")</f>
        <v>271.625</v>
      </c>
      <c r="E59" s="25" t="n">
        <f aca="false">IF(ISNUMBER(D59),C59/D59,"")</f>
        <v>0.894615738610216</v>
      </c>
      <c r="F59" s="25" t="n">
        <f aca="false">IF(AND($A59+(-24)&gt;=1,$A59+(-24)&lt;=$B$8),INDEX($E$12:$E$71,$A59+(-24)),"")</f>
        <v>0.92123629112662</v>
      </c>
      <c r="G59" s="25" t="n">
        <f aca="false">IF(AND($A59+(-12)&gt;=1,$A59+(-12)&lt;=$B$8),INDEX($E$12:$E$71,$A59+(-12)),"")</f>
        <v>0.951785420437716</v>
      </c>
      <c r="H59" s="25" t="n">
        <f aca="false">IF(AND($A59+(0)&gt;=1,$A59+(0)&lt;=$B$8),INDEX($E$12:$E$71,$A59+(0)),"")</f>
        <v>0.894615738610216</v>
      </c>
      <c r="I59" s="25" t="str">
        <f aca="false">IF(AND($A59+(12)&gt;=1,$A59+(12)&lt;=$B$8),INDEX($E$12:$E$71,$A59+(12)),"")</f>
        <v/>
      </c>
      <c r="J59" s="25" t="str">
        <f aca="false">IF(AND($A59+(24)&gt;=1,$A59+(24)&lt;=$B$8),INDEX($E$12:$E$71,$A59+(24)),"")</f>
        <v/>
      </c>
      <c r="K59" s="25" t="n">
        <f aca="false">IF(SUMPRODUCT(Bobot_Filter!$B$38:$F$38,ISNUMBER(F59:J59)*1)&gt;0,SUMPRODUCT(Bobot_Filter!$B$38:$F$38,F59:J59)/SUMPRODUCT(Bobot_Filter!$B$38:$F$38,ISNUMBER(F59:J59)*1),"")</f>
        <v>0.918109057972117</v>
      </c>
      <c r="L59" s="25" t="n">
        <f aca="false">IF(AND($A59&gt;=$B$6,$A59&lt;=$B$7),SUMPRODUCT(Bobot_Filter!$B$4:$B$16,K53:K65),"")</f>
        <v>1.00013554672769</v>
      </c>
      <c r="M59" s="25" t="n">
        <f aca="false">K59/INDEX($L$12:$L$71,MAX($B$6,MIN($A59,$B$7)))</f>
        <v>0.917984628159702</v>
      </c>
      <c r="N59" s="27" t="n">
        <f aca="false">C59/M59</f>
        <v>264.710314907065</v>
      </c>
      <c r="O59" s="27" t="n">
        <f aca="false">IF(AND($A59&gt;=$B$6,$A59&lt;=$B$7),SUMPRODUCT(Bobot_Filter!$B$20:$B$32,N53:N65),"")</f>
        <v>265.001302552755</v>
      </c>
      <c r="P59" s="25" t="n">
        <f aca="false">IF(ISNUMBER(O59),C59/O59,"")</f>
        <v>0.916976624866307</v>
      </c>
      <c r="Q59" s="25" t="n">
        <f aca="false">IF(AND($A59+(-36)&gt;=1,$A59+(-36)&lt;=$B$8),INDEX($P$12:$P$71,$A59+(-36)),"")</f>
        <v>1.02919749634417</v>
      </c>
      <c r="R59" s="25" t="n">
        <f aca="false">IF(AND($A59+(-24)&gt;=1,$A59+(-24)&lt;=$B$8),INDEX($P$12:$P$71,$A59+(-24)),"")</f>
        <v>0.926608537456975</v>
      </c>
      <c r="S59" s="25" t="n">
        <f aca="false">IF(AND($A59+(-12)&gt;=1,$A59+(-12)&lt;=$B$8),INDEX($P$12:$P$71,$A59+(-12)),"")</f>
        <v>0.947012247366312</v>
      </c>
      <c r="T59" s="25" t="n">
        <f aca="false">IF(AND($A59+(0)&gt;=1,$A59+(0)&lt;=$B$8),INDEX($P$12:$P$71,$A59+(0)),"")</f>
        <v>0.916976624866307</v>
      </c>
      <c r="U59" s="25" t="str">
        <f aca="false">IF(AND($A59+(12)&gt;=1,$A59+(12)&lt;=$B$8),INDEX($P$12:$P$71,$A59+(12)),"")</f>
        <v/>
      </c>
      <c r="V59" s="25" t="str">
        <f aca="false">IF(AND($A59+(24)&gt;=1,$A59+(24)&lt;=$B$8),INDEX($P$12:$P$71,$A59+(24)),"")</f>
        <v/>
      </c>
      <c r="W59" s="25" t="str">
        <f aca="false">IF(AND($A59+(36)&gt;=1,$A59+(36)&lt;=$B$8),INDEX($P$12:$P$71,$A59+(36)),"")</f>
        <v/>
      </c>
      <c r="X59" s="25" t="n">
        <f aca="false">IF(SUMPRODUCT(Bobot_Filter!$B$43:$H$43,ISNUMBER(Q59:W59)*1)&gt;0,SUMPRODUCT(Bobot_Filter!$B$43:$H$43,Q59:W59)/SUMPRODUCT(Bobot_Filter!$B$43:$H$43,ISNUMBER(Q59:W59)*1),"")</f>
        <v>0.941597909772887</v>
      </c>
      <c r="Y59" s="25" t="n">
        <f aca="false">IF(AND($A59&gt;=$B$6,$A59&lt;=$B$7),SUMPRODUCT(Bobot_Filter!$B$4:$B$16,X53:X65),"")</f>
        <v>0.999789389779711</v>
      </c>
      <c r="Z59" s="33" t="n">
        <f aca="false">X59/INDEX($Y$12:$Y$71,MAX($B$6,MIN($A59,$B$7)))</f>
        <v>0.941796261691029</v>
      </c>
      <c r="AA59" s="27" t="n">
        <f aca="false">C59/Z59</f>
        <v>258.017588181636</v>
      </c>
      <c r="AB59" s="27" t="n">
        <f aca="false">IF(AND($A59&gt;=$B$6,$A59&lt;=$B$7),SUMPRODUCT(Bobot_Filter!$B$20:$B$32,AA53:AA65),"")</f>
        <v>261.152902598353</v>
      </c>
      <c r="AC59" s="25" t="n">
        <f aca="false">IF(ISNUMBER(AB59),AA59/AB59,"")</f>
        <v>0.98799433440899</v>
      </c>
      <c r="AD59" s="27" t="n">
        <f aca="false">$B$4+$B$3*A59</f>
        <v>271.773116258572</v>
      </c>
      <c r="AE59" s="27" t="n">
        <f aca="false">AD59*Z59</f>
        <v>255.954904920445</v>
      </c>
      <c r="AF59" s="28" t="n">
        <f aca="false">ABS(C59-AE59)/C59</f>
        <v>0.0533123659277565</v>
      </c>
    </row>
    <row r="60" customFormat="false" ht="15" hidden="false" customHeight="false" outlineLevel="0" collapsed="false">
      <c r="A60" s="8" t="n">
        <v>49</v>
      </c>
      <c r="B60" s="22" t="n">
        <f aca="false">Data!B53</f>
        <v>45809</v>
      </c>
      <c r="C60" s="23" t="n">
        <f aca="false">Data!E53</f>
        <v>239</v>
      </c>
      <c r="D60" s="27" t="n">
        <f aca="false">IF(AND($A60&gt;=$B$6,$A60&lt;=$B$7),SUMPRODUCT(Bobot_Filter!$B$4:$B$16,C54:C66),"")</f>
        <v>275.75</v>
      </c>
      <c r="E60" s="25" t="n">
        <f aca="false">IF(ISNUMBER(D60),C60/D60,"")</f>
        <v>0.866727107887579</v>
      </c>
      <c r="F60" s="25" t="n">
        <f aca="false">IF(AND($A60+(-24)&gt;=1,$A60+(-24)&lt;=$B$8),INDEX($E$12:$E$71,$A60+(-24)),"")</f>
        <v>0.927055702917772</v>
      </c>
      <c r="G60" s="25" t="n">
        <f aca="false">IF(AND($A60+(-12)&gt;=1,$A60+(-12)&lt;=$B$8),INDEX($E$12:$E$71,$A60+(-12)),"")</f>
        <v>0.917925147734734</v>
      </c>
      <c r="H60" s="25" t="n">
        <f aca="false">IF(AND($A60+(0)&gt;=1,$A60+(0)&lt;=$B$8),INDEX($E$12:$E$71,$A60+(0)),"")</f>
        <v>0.866727107887579</v>
      </c>
      <c r="I60" s="25" t="str">
        <f aca="false">IF(AND($A60+(12)&gt;=1,$A60+(12)&lt;=$B$8),INDEX($E$12:$E$71,$A60+(12)),"")</f>
        <v/>
      </c>
      <c r="J60" s="25" t="str">
        <f aca="false">IF(AND($A60+(24)&gt;=1,$A60+(24)&lt;=$B$8),INDEX($E$12:$E$71,$A60+(24)),"")</f>
        <v/>
      </c>
      <c r="K60" s="25" t="n">
        <f aca="false">IF(SUMPRODUCT(Bobot_Filter!$B$38:$F$38,ISNUMBER(F60:J60)*1)&gt;0,SUMPRODUCT(Bobot_Filter!$B$38:$F$38,F60:J60)/SUMPRODUCT(Bobot_Filter!$B$38:$F$38,ISNUMBER(F60:J60)*1),"")</f>
        <v>0.89384788700833</v>
      </c>
      <c r="L60" s="25" t="n">
        <f aca="false">IF(AND($A60&gt;=$B$6,$A60&lt;=$B$7),SUMPRODUCT(Bobot_Filter!$B$4:$B$16,K54:K66),"")</f>
        <v>1.00049228798527</v>
      </c>
      <c r="M60" s="25" t="n">
        <f aca="false">K60/INDEX($L$12:$L$71,MAX($B$6,MIN($A60,$B$7)))</f>
        <v>0.893408072948072</v>
      </c>
      <c r="N60" s="27" t="n">
        <f aca="false">C60/M60</f>
        <v>267.51493213101</v>
      </c>
      <c r="O60" s="27" t="n">
        <f aca="false">IF(AND($A60&gt;=$B$6,$A60&lt;=$B$7),SUMPRODUCT(Bobot_Filter!$B$20:$B$32,N54:N66),"")</f>
        <v>268.790993387476</v>
      </c>
      <c r="P60" s="25" t="n">
        <f aca="false">IF(ISNUMBER(O60),C60/O60,"")</f>
        <v>0.889166697841952</v>
      </c>
      <c r="Q60" s="25" t="n">
        <f aca="false">IF(AND($A60+(-36)&gt;=1,$A60+(-36)&lt;=$B$8),INDEX($P$12:$P$71,$A60+(-36)),"")</f>
        <v>0.961218278209873</v>
      </c>
      <c r="R60" s="25" t="n">
        <f aca="false">IF(AND($A60+(-24)&gt;=1,$A60+(-24)&lt;=$B$8),INDEX($P$12:$P$71,$A60+(-24)),"")</f>
        <v>0.926297999942602</v>
      </c>
      <c r="S60" s="25" t="n">
        <f aca="false">IF(AND($A60+(-12)&gt;=1,$A60+(-12)&lt;=$B$8),INDEX($P$12:$P$71,$A60+(-12)),"")</f>
        <v>0.921178835309406</v>
      </c>
      <c r="T60" s="25" t="n">
        <f aca="false">IF(AND($A60+(0)&gt;=1,$A60+(0)&lt;=$B$8),INDEX($P$12:$P$71,$A60+(0)),"")</f>
        <v>0.889166697841952</v>
      </c>
      <c r="U60" s="25" t="str">
        <f aca="false">IF(AND($A60+(12)&gt;=1,$A60+(12)&lt;=$B$8),INDEX($P$12:$P$71,$A60+(12)),"")</f>
        <v/>
      </c>
      <c r="V60" s="25" t="str">
        <f aca="false">IF(AND($A60+(24)&gt;=1,$A60+(24)&lt;=$B$8),INDEX($P$12:$P$71,$A60+(24)),"")</f>
        <v/>
      </c>
      <c r="W60" s="25" t="str">
        <f aca="false">IF(AND($A60+(36)&gt;=1,$A60+(36)&lt;=$B$8),INDEX($P$12:$P$71,$A60+(36)),"")</f>
        <v/>
      </c>
      <c r="X60" s="25" t="n">
        <f aca="false">IF(SUMPRODUCT(Bobot_Filter!$B$43:$H$43,ISNUMBER(Q60:W60)*1)&gt;0,SUMPRODUCT(Bobot_Filter!$B$43:$H$43,Q60:W60)/SUMPRODUCT(Bobot_Filter!$B$43:$H$43,ISNUMBER(Q60:W60)*1),"")</f>
        <v>0.916094541949906</v>
      </c>
      <c r="Y60" s="25" t="n">
        <f aca="false">IF(AND($A60&gt;=$B$6,$A60&lt;=$B$7),SUMPRODUCT(Bobot_Filter!$B$4:$B$16,X54:X66),"")</f>
        <v>0.999620032735968</v>
      </c>
      <c r="Z60" s="33" t="n">
        <f aca="false">X60/INDEX($Y$12:$Y$71,MAX($B$6,MIN($A60,$B$7)))</f>
        <v>0.91644276019814</v>
      </c>
      <c r="AA60" s="27" t="n">
        <f aca="false">C60/Z60</f>
        <v>260.790973948364</v>
      </c>
      <c r="AB60" s="27" t="n">
        <f aca="false">IF(AND($A60&gt;=$B$6,$A60&lt;=$B$7),SUMPRODUCT(Bobot_Filter!$B$20:$B$32,AA54:AA66),"")</f>
        <v>264.158098035698</v>
      </c>
      <c r="AC60" s="25" t="n">
        <f aca="false">IF(ISNUMBER(AB60),AA60/AB60,"")</f>
        <v>0.987253375488497</v>
      </c>
      <c r="AD60" s="27" t="n">
        <f aca="false">$B$4+$B$3*A60</f>
        <v>272.845914510472</v>
      </c>
      <c r="AE60" s="27" t="n">
        <f aca="false">AD60*Z60</f>
        <v>250.047663002763</v>
      </c>
      <c r="AF60" s="28" t="n">
        <f aca="false">ABS(C60-AE60)/C60</f>
        <v>0.0462245313923122</v>
      </c>
    </row>
    <row r="61" customFormat="false" ht="15" hidden="false" customHeight="false" outlineLevel="0" collapsed="false">
      <c r="A61" s="8" t="n">
        <v>50</v>
      </c>
      <c r="B61" s="22" t="n">
        <f aca="false">Data!B54</f>
        <v>45839</v>
      </c>
      <c r="C61" s="23" t="n">
        <f aca="false">Data!E54</f>
        <v>277</v>
      </c>
      <c r="D61" s="27" t="n">
        <f aca="false">IF(AND($A61&gt;=$B$6,$A61&lt;=$B$7),SUMPRODUCT(Bobot_Filter!$B$4:$B$16,C55:C67),"")</f>
        <v>278.416666666667</v>
      </c>
      <c r="E61" s="25" t="n">
        <f aca="false">IF(ISNUMBER(D61),C61/D61,"")</f>
        <v>0.994911703082909</v>
      </c>
      <c r="F61" s="25" t="n">
        <f aca="false">IF(AND($A61+(-24)&gt;=1,$A61+(-24)&lt;=$B$8),INDEX($E$12:$E$71,$A61+(-24)),"")</f>
        <v>1.05450941526264</v>
      </c>
      <c r="G61" s="25" t="n">
        <f aca="false">IF(AND($A61+(-12)&gt;=1,$A61+(-12)&lt;=$B$8),INDEX($E$12:$E$71,$A61+(-12)),"")</f>
        <v>1.01425061425061</v>
      </c>
      <c r="H61" s="25" t="n">
        <f aca="false">IF(AND($A61+(0)&gt;=1,$A61+(0)&lt;=$B$8),INDEX($E$12:$E$71,$A61+(0)),"")</f>
        <v>0.994911703082909</v>
      </c>
      <c r="I61" s="25" t="str">
        <f aca="false">IF(AND($A61+(12)&gt;=1,$A61+(12)&lt;=$B$8),INDEX($E$12:$E$71,$A61+(12)),"")</f>
        <v/>
      </c>
      <c r="J61" s="25" t="str">
        <f aca="false">IF(AND($A61+(24)&gt;=1,$A61+(24)&lt;=$B$8),INDEX($E$12:$E$71,$A61+(24)),"")</f>
        <v/>
      </c>
      <c r="K61" s="25" t="n">
        <f aca="false">IF(SUMPRODUCT(Bobot_Filter!$B$38:$F$38,ISNUMBER(F61:J61)*1)&gt;0,SUMPRODUCT(Bobot_Filter!$B$38:$F$38,F61:J61)/SUMPRODUCT(Bobot_Filter!$B$38:$F$38,ISNUMBER(F61:J61)*1),"")</f>
        <v>1.01129095883543</v>
      </c>
      <c r="L61" s="25" t="n">
        <f aca="false">IF(AND($A61&gt;=$B$6,$A61&lt;=$B$7),SUMPRODUCT(Bobot_Filter!$B$4:$B$16,K55:K67),"")</f>
        <v>1.00051036657517</v>
      </c>
      <c r="M61" s="25" t="n">
        <f aca="false">K61/INDEX($L$12:$L$71,MAX($B$6,MIN($A61,$B$7)))</f>
        <v>1.01077509301294</v>
      </c>
      <c r="N61" s="27" t="n">
        <f aca="false">C61/M61</f>
        <v>274.047116826268</v>
      </c>
      <c r="O61" s="27" t="n">
        <f aca="false">IF(AND($A61&gt;=$B$6,$A61&lt;=$B$7),SUMPRODUCT(Bobot_Filter!$B$20:$B$32,N55:N67),"")</f>
        <v>275.546048801439</v>
      </c>
      <c r="P61" s="25" t="n">
        <f aca="false">IF(ISNUMBER(O61),C61/O61,"")</f>
        <v>1.00527661784622</v>
      </c>
      <c r="Q61" s="25" t="n">
        <f aca="false">IF(AND($A61+(-36)&gt;=1,$A61+(-36)&lt;=$B$8),INDEX($P$12:$P$71,$A61+(-36)),"")</f>
        <v>1.02844579819639</v>
      </c>
      <c r="R61" s="25" t="n">
        <f aca="false">IF(AND($A61+(-24)&gt;=1,$A61+(-24)&lt;=$B$8),INDEX($P$12:$P$71,$A61+(-24)),"")</f>
        <v>1.04671826253787</v>
      </c>
      <c r="S61" s="25" t="n">
        <f aca="false">IF(AND($A61+(-12)&gt;=1,$A61+(-12)&lt;=$B$8),INDEX($P$12:$P$71,$A61+(-12)),"")</f>
        <v>1.02519522355521</v>
      </c>
      <c r="T61" s="25" t="n">
        <f aca="false">IF(AND($A61+(0)&gt;=1,$A61+(0)&lt;=$B$8),INDEX($P$12:$P$71,$A61+(0)),"")</f>
        <v>1.00527661784622</v>
      </c>
      <c r="U61" s="25" t="str">
        <f aca="false">IF(AND($A61+(12)&gt;=1,$A61+(12)&lt;=$B$8),INDEX($P$12:$P$71,$A61+(12)),"")</f>
        <v/>
      </c>
      <c r="V61" s="25" t="str">
        <f aca="false">IF(AND($A61+(24)&gt;=1,$A61+(24)&lt;=$B$8),INDEX($P$12:$P$71,$A61+(24)),"")</f>
        <v/>
      </c>
      <c r="W61" s="25" t="str">
        <f aca="false">IF(AND($A61+(36)&gt;=1,$A61+(36)&lt;=$B$8),INDEX($P$12:$P$71,$A61+(36)),"")</f>
        <v/>
      </c>
      <c r="X61" s="25" t="n">
        <f aca="false">IF(SUMPRODUCT(Bobot_Filter!$B$43:$H$43,ISNUMBER(Q61:W61)*1)&gt;0,SUMPRODUCT(Bobot_Filter!$B$43:$H$43,Q61:W61)/SUMPRODUCT(Bobot_Filter!$B$43:$H$43,ISNUMBER(Q61:W61)*1),"")</f>
        <v>1.02369976083072</v>
      </c>
      <c r="Y61" s="25" t="n">
        <f aca="false">IF(AND($A61&gt;=$B$6,$A61&lt;=$B$7),SUMPRODUCT(Bobot_Filter!$B$4:$B$16,X55:X67),"")</f>
        <v>0.999391204354732</v>
      </c>
      <c r="Z61" s="33" t="n">
        <f aca="false">X61/INDEX($Y$12:$Y$71,MAX($B$6,MIN($A61,$B$7)))</f>
        <v>1.02432336443433</v>
      </c>
      <c r="AA61" s="27" t="n">
        <f aca="false">C61/Z61</f>
        <v>270.422417000095</v>
      </c>
      <c r="AB61" s="27" t="n">
        <f aca="false">IF(AND($A61&gt;=$B$6,$A61&lt;=$B$7),SUMPRODUCT(Bobot_Filter!$B$20:$B$32,AA55:AA67),"")</f>
        <v>272.053058484987</v>
      </c>
      <c r="AC61" s="25" t="n">
        <f aca="false">IF(ISNUMBER(AB61),AA61/AB61,"")</f>
        <v>0.994006163746245</v>
      </c>
      <c r="AD61" s="27" t="n">
        <f aca="false">$B$4+$B$3*A61</f>
        <v>273.918712762371</v>
      </c>
      <c r="AE61" s="27" t="n">
        <f aca="false">AD61*Z61</f>
        <v>280.581337438273</v>
      </c>
      <c r="AF61" s="28" t="n">
        <f aca="false">ABS(C61-AE61)/C61</f>
        <v>0.012929016022645</v>
      </c>
    </row>
    <row r="62" customFormat="false" ht="15" hidden="false" customHeight="false" outlineLevel="0" collapsed="false">
      <c r="A62" s="8" t="n">
        <v>51</v>
      </c>
      <c r="B62" s="22" t="n">
        <f aca="false">Data!B55</f>
        <v>45870</v>
      </c>
      <c r="C62" s="23" t="n">
        <f aca="false">Data!E55</f>
        <v>252</v>
      </c>
      <c r="D62" s="27" t="n">
        <f aca="false">IF(AND($A62&gt;=$B$6,$A62&lt;=$B$7),SUMPRODUCT(Bobot_Filter!$B$4:$B$16,C56:C68),"")</f>
        <v>280.791666666667</v>
      </c>
      <c r="E62" s="25" t="n">
        <f aca="false">IF(ISNUMBER(D62),C62/D62,"")</f>
        <v>0.897462531532869</v>
      </c>
      <c r="F62" s="25" t="n">
        <f aca="false">IF(AND($A62+(-24)&gt;=1,$A62+(-24)&lt;=$B$8),INDEX($E$12:$E$71,$A62+(-24)),"")</f>
        <v>0.89064039408867</v>
      </c>
      <c r="G62" s="25" t="n">
        <f aca="false">IF(AND($A62+(-12)&gt;=1,$A62+(-12)&lt;=$B$8),INDEX($E$12:$E$71,$A62+(-12)),"")</f>
        <v>0.883507853403141</v>
      </c>
      <c r="H62" s="25" t="n">
        <f aca="false">IF(AND($A62+(0)&gt;=1,$A62+(0)&lt;=$B$8),INDEX($E$12:$E$71,$A62+(0)),"")</f>
        <v>0.897462531532869</v>
      </c>
      <c r="I62" s="25" t="str">
        <f aca="false">IF(AND($A62+(12)&gt;=1,$A62+(12)&lt;=$B$8),INDEX($E$12:$E$71,$A62+(12)),"")</f>
        <v/>
      </c>
      <c r="J62" s="25" t="str">
        <f aca="false">IF(AND($A62+(24)&gt;=1,$A62+(24)&lt;=$B$8),INDEX($E$12:$E$71,$A62+(24)),"")</f>
        <v/>
      </c>
      <c r="K62" s="25" t="n">
        <f aca="false">IF(SUMPRODUCT(Bobot_Filter!$B$38:$F$38,ISNUMBER(F62:J62)*1)&gt;0,SUMPRODUCT(Bobot_Filter!$B$38:$F$38,F62:J62)/SUMPRODUCT(Bobot_Filter!$B$38:$F$38,ISNUMBER(F62:J62)*1),"")</f>
        <v>0.891673949248926</v>
      </c>
      <c r="L62" s="25" t="n">
        <f aca="false">IF(AND($A62&gt;=$B$6,$A62&lt;=$B$7),SUMPRODUCT(Bobot_Filter!$B$4:$B$16,K56:K68),"")</f>
        <v>1.00081429479362</v>
      </c>
      <c r="M62" s="25" t="n">
        <f aca="false">K62/INDEX($L$12:$L$71,MAX($B$6,MIN($A62,$B$7)))</f>
        <v>0.890948454560997</v>
      </c>
      <c r="N62" s="27" t="n">
        <f aca="false">C62/M62</f>
        <v>282.844645736739</v>
      </c>
      <c r="O62" s="27" t="n">
        <f aca="false">IF(AND($A62&gt;=$B$6,$A62&lt;=$B$7),SUMPRODUCT(Bobot_Filter!$B$20:$B$32,N56:N68),"")</f>
        <v>283.199164012221</v>
      </c>
      <c r="P62" s="25" t="n">
        <f aca="false">IF(ISNUMBER(O62),C62/O62,"")</f>
        <v>0.889833135203484</v>
      </c>
      <c r="Q62" s="25" t="n">
        <f aca="false">IF(AND($A62+(-36)&gt;=1,$A62+(-36)&lt;=$B$8),INDEX($P$12:$P$71,$A62+(-36)),"")</f>
        <v>0.938718003678862</v>
      </c>
      <c r="R62" s="25" t="n">
        <f aca="false">IF(AND($A62+(-24)&gt;=1,$A62+(-24)&lt;=$B$8),INDEX($P$12:$P$71,$A62+(-24)),"")</f>
        <v>0.881774714221948</v>
      </c>
      <c r="S62" s="25" t="n">
        <f aca="false">IF(AND($A62+(-12)&gt;=1,$A62+(-12)&lt;=$B$8),INDEX($P$12:$P$71,$A62+(-12)),"")</f>
        <v>0.896070263888533</v>
      </c>
      <c r="T62" s="25" t="n">
        <f aca="false">IF(AND($A62+(0)&gt;=1,$A62+(0)&lt;=$B$8),INDEX($P$12:$P$71,$A62+(0)),"")</f>
        <v>0.889833135203484</v>
      </c>
      <c r="U62" s="25" t="str">
        <f aca="false">IF(AND($A62+(12)&gt;=1,$A62+(12)&lt;=$B$8),INDEX($P$12:$P$71,$A62+(12)),"")</f>
        <v/>
      </c>
      <c r="V62" s="25" t="str">
        <f aca="false">IF(AND($A62+(24)&gt;=1,$A62+(24)&lt;=$B$8),INDEX($P$12:$P$71,$A62+(24)),"")</f>
        <v/>
      </c>
      <c r="W62" s="25" t="str">
        <f aca="false">IF(AND($A62+(36)&gt;=1,$A62+(36)&lt;=$B$8),INDEX($P$12:$P$71,$A62+(36)),"")</f>
        <v/>
      </c>
      <c r="X62" s="25" t="n">
        <f aca="false">IF(SUMPRODUCT(Bobot_Filter!$B$43:$H$43,ISNUMBER(Q62:W62)*1)&gt;0,SUMPRODUCT(Bobot_Filter!$B$43:$H$43,Q62:W62)/SUMPRODUCT(Bobot_Filter!$B$43:$H$43,ISNUMBER(Q62:W62)*1),"")</f>
        <v>0.895553069933201</v>
      </c>
      <c r="Y62" s="25" t="n">
        <f aca="false">IF(AND($A62&gt;=$B$6,$A62&lt;=$B$7),SUMPRODUCT(Bobot_Filter!$B$4:$B$16,X56:X68),"")</f>
        <v>1.00023811699709</v>
      </c>
      <c r="Z62" s="33" t="n">
        <f aca="false">X62/INDEX($Y$12:$Y$71,MAX($B$6,MIN($A62,$B$7)))</f>
        <v>0.895339874290958</v>
      </c>
      <c r="AA62" s="27" t="n">
        <f aca="false">C62/Z62</f>
        <v>281.457362992534</v>
      </c>
      <c r="AB62" s="27" t="n">
        <f aca="false">IF(AND($A62&gt;=$B$6,$A62&lt;=$B$7),SUMPRODUCT(Bobot_Filter!$B$20:$B$32,AA56:AA68),"")</f>
        <v>282.218000022119</v>
      </c>
      <c r="AC62" s="25" t="n">
        <f aca="false">IF(ISNUMBER(AB62),AA62/AB62,"")</f>
        <v>0.997304789100888</v>
      </c>
      <c r="AD62" s="27" t="n">
        <f aca="false">$B$4+$B$3*A62</f>
        <v>274.991511014271</v>
      </c>
      <c r="AE62" s="27" t="n">
        <f aca="false">AD62*Z62</f>
        <v>246.210864902598</v>
      </c>
      <c r="AF62" s="28" t="n">
        <f aca="false">ABS(C62-AE62)/C62</f>
        <v>0.0229727583230249</v>
      </c>
    </row>
    <row r="63" customFormat="false" ht="15" hidden="false" customHeight="false" outlineLevel="0" collapsed="false">
      <c r="A63" s="8" t="n">
        <v>52</v>
      </c>
      <c r="B63" s="22" t="n">
        <f aca="false">Data!B56</f>
        <v>45901</v>
      </c>
      <c r="C63" s="23" t="n">
        <f aca="false">Data!E56</f>
        <v>278</v>
      </c>
      <c r="D63" s="27" t="n">
        <f aca="false">IF(AND($A63&gt;=$B$6,$A63&lt;=$B$7),SUMPRODUCT(Bobot_Filter!$B$4:$B$16,C57:C69),"")</f>
        <v>284.083333333333</v>
      </c>
      <c r="E63" s="25" t="n">
        <f aca="false">IF(ISNUMBER(D63),C63/D63,"")</f>
        <v>0.978586095629217</v>
      </c>
      <c r="F63" s="25" t="n">
        <f aca="false">IF(AND($A63+(-24)&gt;=1,$A63+(-24)&lt;=$B$8),INDEX($E$12:$E$71,$A63+(-24)),"")</f>
        <v>0.946853602869254</v>
      </c>
      <c r="G63" s="25" t="n">
        <f aca="false">IF(AND($A63+(-12)&gt;=1,$A63+(-12)&lt;=$B$8),INDEX($E$12:$E$71,$A63+(-12)),"")</f>
        <v>0.897959183673469</v>
      </c>
      <c r="H63" s="25" t="n">
        <f aca="false">IF(AND($A63+(0)&gt;=1,$A63+(0)&lt;=$B$8),INDEX($E$12:$E$71,$A63+(0)),"")</f>
        <v>0.978586095629217</v>
      </c>
      <c r="I63" s="25" t="str">
        <f aca="false">IF(AND($A63+(12)&gt;=1,$A63+(12)&lt;=$B$8),INDEX($E$12:$E$71,$A63+(12)),"")</f>
        <v/>
      </c>
      <c r="J63" s="25" t="str">
        <f aca="false">IF(AND($A63+(24)&gt;=1,$A63+(24)&lt;=$B$8),INDEX($E$12:$E$71,$A63+(24)),"")</f>
        <v/>
      </c>
      <c r="K63" s="25" t="n">
        <f aca="false">IF(SUMPRODUCT(Bobot_Filter!$B$38:$F$38,ISNUMBER(F63:J63)*1)&gt;0,SUMPRODUCT(Bobot_Filter!$B$38:$F$38,F63:J63)/SUMPRODUCT(Bobot_Filter!$B$38:$F$38,ISNUMBER(F63:J63)*1),"")</f>
        <v>0.946421709517307</v>
      </c>
      <c r="L63" s="25" t="n">
        <f aca="false">IF(AND($A63&gt;=$B$6,$A63&lt;=$B$7),SUMPRODUCT(Bobot_Filter!$B$4:$B$16,K57:K69),"")</f>
        <v>1.00272421815998</v>
      </c>
      <c r="M63" s="25" t="n">
        <f aca="false">K63/INDEX($L$12:$L$71,MAX($B$6,MIN($A63,$B$7)))</f>
        <v>0.943850454967575</v>
      </c>
      <c r="N63" s="27" t="n">
        <f aca="false">C63/M63</f>
        <v>294.53818508733</v>
      </c>
      <c r="O63" s="27" t="n">
        <f aca="false">IF(AND($A63&gt;=$B$6,$A63&lt;=$B$7),SUMPRODUCT(Bobot_Filter!$B$20:$B$32,N57:N69),"")</f>
        <v>289.92425177178</v>
      </c>
      <c r="P63" s="25" t="n">
        <f aca="false">IF(ISNUMBER(O63),C63/O63,"")</f>
        <v>0.958871147553512</v>
      </c>
      <c r="Q63" s="25" t="n">
        <f aca="false">IF(AND($A63+(-36)&gt;=1,$A63+(-36)&lt;=$B$8),INDEX($P$12:$P$71,$A63+(-36)),"")</f>
        <v>0.869445103412822</v>
      </c>
      <c r="R63" s="25" t="n">
        <f aca="false">IF(AND($A63+(-24)&gt;=1,$A63+(-24)&lt;=$B$8),INDEX($P$12:$P$71,$A63+(-24)),"")</f>
        <v>0.938870773751043</v>
      </c>
      <c r="S63" s="25" t="n">
        <f aca="false">IF(AND($A63+(-12)&gt;=1,$A63+(-12)&lt;=$B$8),INDEX($P$12:$P$71,$A63+(-12)),"")</f>
        <v>0.920866963360894</v>
      </c>
      <c r="T63" s="25" t="n">
        <f aca="false">IF(AND($A63+(0)&gt;=1,$A63+(0)&lt;=$B$8),INDEX($P$12:$P$71,$A63+(0)),"")</f>
        <v>0.958871147553512</v>
      </c>
      <c r="U63" s="25" t="str">
        <f aca="false">IF(AND($A63+(12)&gt;=1,$A63+(12)&lt;=$B$8),INDEX($P$12:$P$71,$A63+(12)),"")</f>
        <v/>
      </c>
      <c r="V63" s="25" t="str">
        <f aca="false">IF(AND($A63+(24)&gt;=1,$A63+(24)&lt;=$B$8),INDEX($P$12:$P$71,$A63+(24)),"")</f>
        <v/>
      </c>
      <c r="W63" s="25" t="str">
        <f aca="false">IF(AND($A63+(36)&gt;=1,$A63+(36)&lt;=$B$8),INDEX($P$12:$P$71,$A63+(36)),"")</f>
        <v/>
      </c>
      <c r="X63" s="25" t="n">
        <f aca="false">IF(SUMPRODUCT(Bobot_Filter!$B$43:$H$43,ISNUMBER(Q63:W63)*1)&gt;0,SUMPRODUCT(Bobot_Filter!$B$43:$H$43,Q63:W63)/SUMPRODUCT(Bobot_Filter!$B$43:$H$43,ISNUMBER(Q63:W63)*1),"")</f>
        <v>0.93182233151757</v>
      </c>
      <c r="Y63" s="25" t="n">
        <f aca="false">IF(AND($A63&gt;=$B$6,$A63&lt;=$B$7),SUMPRODUCT(Bobot_Filter!$B$4:$B$16,X57:X69),"")</f>
        <v>1.00305759063041</v>
      </c>
      <c r="Z63" s="33" t="n">
        <f aca="false">X63/INDEX($Y$12:$Y$71,MAX($B$6,MIN($A63,$B$7)))</f>
        <v>0.928981885209535</v>
      </c>
      <c r="AA63" s="27" t="n">
        <f aca="false">C63/Z63</f>
        <v>299.25233680665</v>
      </c>
      <c r="AB63" s="27" t="n">
        <f aca="false">IF(AND($A63&gt;=$B$6,$A63&lt;=$B$7),SUMPRODUCT(Bobot_Filter!$B$20:$B$32,AA57:AA69),"")</f>
        <v>291.484755869342</v>
      </c>
      <c r="AC63" s="25" t="n">
        <f aca="false">IF(ISNUMBER(AB63),AA63/AB63,"")</f>
        <v>1.02664832647643</v>
      </c>
      <c r="AD63" s="27" t="n">
        <f aca="false">$B$4+$B$3*A63</f>
        <v>276.06430926617</v>
      </c>
      <c r="AE63" s="27" t="n">
        <f aca="false">AD63*Z63</f>
        <v>256.458742461155</v>
      </c>
      <c r="AF63" s="28" t="n">
        <f aca="false">ABS(C63-AE63)/C63</f>
        <v>0.0774865379095152</v>
      </c>
    </row>
    <row r="64" customFormat="false" ht="15" hidden="false" customHeight="false" outlineLevel="0" collapsed="false">
      <c r="A64" s="8" t="n">
        <v>53</v>
      </c>
      <c r="B64" s="22" t="n">
        <f aca="false">Data!B57</f>
        <v>45931</v>
      </c>
      <c r="C64" s="23" t="n">
        <f aca="false">Data!E57</f>
        <v>278</v>
      </c>
      <c r="D64" s="27" t="n">
        <f aca="false">IF(AND($A64&gt;=$B$6,$A64&lt;=$B$7),SUMPRODUCT(Bobot_Filter!$B$4:$B$16,C58:C70),"")</f>
        <v>285.333333333333</v>
      </c>
      <c r="E64" s="25" t="n">
        <f aca="false">IF(ISNUMBER(D64),C64/D64,"")</f>
        <v>0.974299065420561</v>
      </c>
      <c r="F64" s="25" t="n">
        <f aca="false">IF(AND($A64+(-24)&gt;=1,$A64+(-24)&lt;=$B$8),INDEX($E$12:$E$71,$A64+(-24)),"")</f>
        <v>0.942019543973941</v>
      </c>
      <c r="G64" s="25" t="n">
        <f aca="false">IF(AND($A64+(-12)&gt;=1,$A64+(-12)&lt;=$B$8),INDEX($E$12:$E$71,$A64+(-12)),"")</f>
        <v>0.878284700951153</v>
      </c>
      <c r="H64" s="25" t="n">
        <f aca="false">IF(AND($A64+(0)&gt;=1,$A64+(0)&lt;=$B$8),INDEX($E$12:$E$71,$A64+(0)),"")</f>
        <v>0.974299065420561</v>
      </c>
      <c r="I64" s="25" t="str">
        <f aca="false">IF(AND($A64+(12)&gt;=1,$A64+(12)&lt;=$B$8),INDEX($E$12:$E$71,$A64+(12)),"")</f>
        <v/>
      </c>
      <c r="J64" s="25" t="str">
        <f aca="false">IF(AND($A64+(24)&gt;=1,$A64+(24)&lt;=$B$8),INDEX($E$12:$E$71,$A64+(24)),"")</f>
        <v/>
      </c>
      <c r="K64" s="25" t="n">
        <f aca="false">IF(SUMPRODUCT(Bobot_Filter!$B$38:$F$38,ISNUMBER(F64:J64)*1)&gt;0,SUMPRODUCT(Bobot_Filter!$B$38:$F$38,F64:J64)/SUMPRODUCT(Bobot_Filter!$B$38:$F$38,ISNUMBER(F64:J64)*1),"")</f>
        <v>0.936914357022988</v>
      </c>
      <c r="L64" s="25" t="n">
        <f aca="false">IF(AND($A64&gt;=$B$6,$A64&lt;=$B$7),SUMPRODUCT(Bobot_Filter!$B$4:$B$16,K58:K70),"")</f>
        <v>1.00256754391279</v>
      </c>
      <c r="M64" s="25" t="n">
        <f aca="false">K64/INDEX($L$12:$L$71,MAX($B$6,MIN($A64,$B$7)))</f>
        <v>0.934514948854642</v>
      </c>
      <c r="N64" s="27" t="n">
        <f aca="false">C64/M64</f>
        <v>297.480527562156</v>
      </c>
      <c r="O64" s="27" t="n">
        <f aca="false">IF(AND($A64&gt;=$B$6,$A64&lt;=$B$7),SUMPRODUCT(Bobot_Filter!$B$20:$B$32,N58:N70),"")</f>
        <v>295.024436323335</v>
      </c>
      <c r="P64" s="25" t="n">
        <f aca="false">IF(ISNUMBER(O64),C64/O64,"")</f>
        <v>0.942294826369307</v>
      </c>
      <c r="Q64" s="25" t="n">
        <f aca="false">IF(AND($A64+(-36)&gt;=1,$A64+(-36)&lt;=$B$8),INDEX($P$12:$P$71,$A64+(-36)),"")</f>
        <v>0.871651339333878</v>
      </c>
      <c r="R64" s="25" t="n">
        <f aca="false">IF(AND($A64+(-24)&gt;=1,$A64+(-24)&lt;=$B$8),INDEX($P$12:$P$71,$A64+(-24)),"")</f>
        <v>0.933110248488267</v>
      </c>
      <c r="S64" s="25" t="n">
        <f aca="false">IF(AND($A64+(-12)&gt;=1,$A64+(-12)&lt;=$B$8),INDEX($P$12:$P$71,$A64+(-12)),"")</f>
        <v>0.900649466231489</v>
      </c>
      <c r="T64" s="25" t="n">
        <f aca="false">IF(AND($A64+(0)&gt;=1,$A64+(0)&lt;=$B$8),INDEX($P$12:$P$71,$A64+(0)),"")</f>
        <v>0.942294826369307</v>
      </c>
      <c r="U64" s="25" t="str">
        <f aca="false">IF(AND($A64+(12)&gt;=1,$A64+(12)&lt;=$B$8),INDEX($P$12:$P$71,$A64+(12)),"")</f>
        <v/>
      </c>
      <c r="V64" s="25" t="str">
        <f aca="false">IF(AND($A64+(24)&gt;=1,$A64+(24)&lt;=$B$8),INDEX($P$12:$P$71,$A64+(24)),"")</f>
        <v/>
      </c>
      <c r="W64" s="25" t="str">
        <f aca="false">IF(AND($A64+(36)&gt;=1,$A64+(36)&lt;=$B$8),INDEX($P$12:$P$71,$A64+(36)),"")</f>
        <v/>
      </c>
      <c r="X64" s="25" t="n">
        <f aca="false">IF(SUMPRODUCT(Bobot_Filter!$B$43:$H$43,ISNUMBER(Q64:W64)*1)&gt;0,SUMPRODUCT(Bobot_Filter!$B$43:$H$43,Q64:W64)/SUMPRODUCT(Bobot_Filter!$B$43:$H$43,ISNUMBER(Q64:W64)*1),"")</f>
        <v>0.918522746012533</v>
      </c>
      <c r="Y64" s="25" t="n">
        <f aca="false">IF(AND($A64&gt;=$B$6,$A64&lt;=$B$7),SUMPRODUCT(Bobot_Filter!$B$4:$B$16,X58:X70),"")</f>
        <v>1.00318794991943</v>
      </c>
      <c r="Z64" s="33" t="n">
        <f aca="false">X64/INDEX($Y$12:$Y$71,MAX($B$6,MIN($A64,$B$7)))</f>
        <v>0.915603846802888</v>
      </c>
      <c r="AA64" s="27" t="n">
        <f aca="false">C64/Z64</f>
        <v>303.624761921569</v>
      </c>
      <c r="AB64" s="27" t="n">
        <f aca="false">IF(AND($A64&gt;=$B$6,$A64&lt;=$B$7),SUMPRODUCT(Bobot_Filter!$B$20:$B$32,AA58:AA70),"")</f>
        <v>298.459405245052</v>
      </c>
      <c r="AC64" s="25" t="n">
        <f aca="false">IF(ISNUMBER(AB64),AA64/AB64,"")</f>
        <v>1.01730673111902</v>
      </c>
      <c r="AD64" s="27" t="n">
        <f aca="false">$B$4+$B$3*A64</f>
        <v>277.13710751807</v>
      </c>
      <c r="AE64" s="27" t="n">
        <f aca="false">AD64*Z64</f>
        <v>253.74780173537</v>
      </c>
      <c r="AF64" s="28" t="n">
        <f aca="false">ABS(C64-AE64)/C64</f>
        <v>0.0872381232540642</v>
      </c>
    </row>
    <row r="65" customFormat="false" ht="15" hidden="false" customHeight="false" outlineLevel="0" collapsed="false">
      <c r="A65" s="8" t="n">
        <v>54</v>
      </c>
      <c r="B65" s="22" t="n">
        <f aca="false">Data!B58</f>
        <v>45962</v>
      </c>
      <c r="C65" s="23" t="n">
        <f aca="false">Data!E58</f>
        <v>278</v>
      </c>
      <c r="D65" s="27" t="n">
        <f aca="false">IF(AND($A65&gt;=$B$6,$A65&lt;=$B$7),SUMPRODUCT(Bobot_Filter!$B$4:$B$16,C59:C71),"")</f>
        <v>287.625</v>
      </c>
      <c r="E65" s="25" t="n">
        <f aca="false">IF(ISNUMBER(D65),C65/D65,"")</f>
        <v>0.966536288570187</v>
      </c>
      <c r="F65" s="25" t="n">
        <f aca="false">IF(AND($A65+(-24)&gt;=1,$A65+(-24)&lt;=$B$8),INDEX($E$12:$E$71,$A65+(-24)),"")</f>
        <v>0.923679060665362</v>
      </c>
      <c r="G65" s="25" t="n">
        <f aca="false">IF(AND($A65+(-12)&gt;=1,$A65+(-12)&lt;=$B$8),INDEX($E$12:$E$71,$A65+(-12)),"")</f>
        <v>0.928455810942053</v>
      </c>
      <c r="H65" s="25" t="n">
        <f aca="false">IF(AND($A65+(0)&gt;=1,$A65+(0)&lt;=$B$8),INDEX($E$12:$E$71,$A65+(0)),"")</f>
        <v>0.966536288570187</v>
      </c>
      <c r="I65" s="25" t="str">
        <f aca="false">IF(AND($A65+(12)&gt;=1,$A65+(12)&lt;=$B$8),INDEX($E$12:$E$71,$A65+(12)),"")</f>
        <v/>
      </c>
      <c r="J65" s="25" t="str">
        <f aca="false">IF(AND($A65+(24)&gt;=1,$A65+(24)&lt;=$B$8),INDEX($E$12:$E$71,$A65+(24)),"")</f>
        <v/>
      </c>
      <c r="K65" s="25" t="n">
        <f aca="false">IF(SUMPRODUCT(Bobot_Filter!$B$38:$F$38,ISNUMBER(F65:J65)*1)&gt;0,SUMPRODUCT(Bobot_Filter!$B$38:$F$38,F65:J65)/SUMPRODUCT(Bobot_Filter!$B$38:$F$38,ISNUMBER(F65:J65)*1),"")</f>
        <v>0.946699924710005</v>
      </c>
      <c r="L65" s="25" t="n">
        <f aca="false">IF(AND($A65&gt;=$B$6,$A65&lt;=$B$7),SUMPRODUCT(Bobot_Filter!$B$4:$B$16,K59:K71),"")</f>
        <v>1.00060493231684</v>
      </c>
      <c r="M65" s="25" t="n">
        <f aca="false">K65/INDEX($L$12:$L$71,MAX($B$6,MIN($A65,$B$7)))</f>
        <v>0.946127581560061</v>
      </c>
      <c r="N65" s="27" t="n">
        <f aca="false">C65/M65</f>
        <v>293.829294714787</v>
      </c>
      <c r="O65" s="27" t="n">
        <f aca="false">IF(AND($A65&gt;=$B$6,$A65&lt;=$B$7),SUMPRODUCT(Bobot_Filter!$B$20:$B$32,N59:N71),"")</f>
        <v>296.561425294468</v>
      </c>
      <c r="P65" s="25" t="n">
        <f aca="false">IF(ISNUMBER(O65),C65/O65,"")</f>
        <v>0.937411194743086</v>
      </c>
      <c r="Q65" s="25" t="n">
        <f aca="false">IF(AND($A65+(-36)&gt;=1,$A65+(-36)&lt;=$B$8),INDEX($P$12:$P$71,$A65+(-36)),"")</f>
        <v>0.952330223037439</v>
      </c>
      <c r="R65" s="25" t="n">
        <f aca="false">IF(AND($A65+(-24)&gt;=1,$A65+(-24)&lt;=$B$8),INDEX($P$12:$P$71,$A65+(-24)),"")</f>
        <v>0.914751655529918</v>
      </c>
      <c r="S65" s="25" t="n">
        <f aca="false">IF(AND($A65+(-12)&gt;=1,$A65+(-12)&lt;=$B$8),INDEX($P$12:$P$71,$A65+(-12)),"")</f>
        <v>0.938042368636044</v>
      </c>
      <c r="T65" s="25" t="n">
        <f aca="false">IF(AND($A65+(0)&gt;=1,$A65+(0)&lt;=$B$8),INDEX($P$12:$P$71,$A65+(0)),"")</f>
        <v>0.937411194743086</v>
      </c>
      <c r="U65" s="25" t="str">
        <f aca="false">IF(AND($A65+(12)&gt;=1,$A65+(12)&lt;=$B$8),INDEX($P$12:$P$71,$A65+(12)),"")</f>
        <v/>
      </c>
      <c r="V65" s="25" t="str">
        <f aca="false">IF(AND($A65+(24)&gt;=1,$A65+(24)&lt;=$B$8),INDEX($P$12:$P$71,$A65+(24)),"")</f>
        <v/>
      </c>
      <c r="W65" s="25" t="str">
        <f aca="false">IF(AND($A65+(36)&gt;=1,$A65+(36)&lt;=$B$8),INDEX($P$12:$P$71,$A65+(36)),"")</f>
        <v/>
      </c>
      <c r="X65" s="25" t="n">
        <f aca="false">IF(SUMPRODUCT(Bobot_Filter!$B$43:$H$43,ISNUMBER(Q65:W65)*1)&gt;0,SUMPRODUCT(Bobot_Filter!$B$43:$H$43,Q65:W65)/SUMPRODUCT(Bobot_Filter!$B$43:$H$43,ISNUMBER(Q65:W65)*1),"")</f>
        <v>0.934243802692741</v>
      </c>
      <c r="Y65" s="25" t="n">
        <f aca="false">IF(AND($A65&gt;=$B$6,$A65&lt;=$B$7),SUMPRODUCT(Bobot_Filter!$B$4:$B$16,X59:X71),"")</f>
        <v>1.00085805766658</v>
      </c>
      <c r="Z65" s="33" t="n">
        <f aca="false">X65/INDEX($Y$12:$Y$71,MAX($B$6,MIN($A65,$B$7)))</f>
        <v>0.933442854894787</v>
      </c>
      <c r="AA65" s="27" t="n">
        <f aca="false">C65/Z65</f>
        <v>297.822195051603</v>
      </c>
      <c r="AB65" s="27" t="n">
        <f aca="false">IF(AND($A65&gt;=$B$6,$A65&lt;=$B$7),SUMPRODUCT(Bobot_Filter!$B$20:$B$32,AA59:AA71),"")</f>
        <v>300.808664758066</v>
      </c>
      <c r="AC65" s="25" t="n">
        <f aca="false">IF(ISNUMBER(AB65),AA65/AB65,"")</f>
        <v>0.990071862760783</v>
      </c>
      <c r="AD65" s="27" t="n">
        <f aca="false">$B$4+$B$3*A65</f>
        <v>278.209905769969</v>
      </c>
      <c r="AE65" s="27" t="n">
        <f aca="false">AD65*Z65</f>
        <v>259.69304870193</v>
      </c>
      <c r="AF65" s="28" t="n">
        <f aca="false">ABS(C65-AE65)/C65</f>
        <v>0.0658523427988147</v>
      </c>
    </row>
    <row r="66" customFormat="false" ht="15" hidden="false" customHeight="false" outlineLevel="0" collapsed="false">
      <c r="A66" s="8" t="n">
        <v>55</v>
      </c>
      <c r="B66" s="22" t="n">
        <f aca="false">Data!B59</f>
        <v>45992</v>
      </c>
      <c r="C66" s="23" t="n">
        <f aca="false">Data!E59</f>
        <v>360</v>
      </c>
      <c r="D66" s="27" t="str">
        <f aca="false">IF(AND($A66&gt;=$B$6,$A66&lt;=$B$7),SUMPRODUCT(Bobot_Filter!$B$4:$B$16,C60:C72),"")</f>
        <v/>
      </c>
      <c r="E66" s="25" t="str">
        <f aca="false">IF(ISNUMBER(D66),C66/D66,"")</f>
        <v/>
      </c>
      <c r="F66" s="25" t="n">
        <f aca="false">IF(AND($A66+(-24)&gt;=1,$A66+(-24)&lt;=$B$8),INDEX($E$12:$E$71,$A66+(-24)),"")</f>
        <v>1.12536633018561</v>
      </c>
      <c r="G66" s="25" t="n">
        <f aca="false">IF(AND($A66+(-12)&gt;=1,$A66+(-12)&lt;=$B$8),INDEX($E$12:$E$71,$A66+(-12)),"")</f>
        <v>1.1639185257032</v>
      </c>
      <c r="H66" s="25" t="str">
        <f aca="false">IF(AND($A66+(0)&gt;=1,$A66+(0)&lt;=$B$8),INDEX($E$12:$E$71,$A66+(0)),"")</f>
        <v/>
      </c>
      <c r="I66" s="25" t="str">
        <f aca="false">IF(AND($A66+(12)&gt;=1,$A66+(12)&lt;=$B$8),INDEX($E$12:$E$71,$A66+(12)),"")</f>
        <v/>
      </c>
      <c r="J66" s="25" t="str">
        <f aca="false">IF(AND($A66+(24)&gt;=1,$A66+(24)&lt;=$B$8),INDEX($E$12:$E$71,$A66+(24)),"")</f>
        <v/>
      </c>
      <c r="K66" s="25" t="n">
        <f aca="false">IF(SUMPRODUCT(Bobot_Filter!$B$38:$F$38,ISNUMBER(F66:J66)*1)&gt;0,SUMPRODUCT(Bobot_Filter!$B$38:$F$38,F66:J66)/SUMPRODUCT(Bobot_Filter!$B$38:$F$38,ISNUMBER(F66:J66)*1),"")</f>
        <v>1.151067793864</v>
      </c>
      <c r="L66" s="25" t="str">
        <f aca="false">IF(AND($A66&gt;=$B$6,$A66&lt;=$B$7),SUMPRODUCT(Bobot_Filter!$B$4:$B$16,K60:K72),"")</f>
        <v/>
      </c>
      <c r="M66" s="25" t="n">
        <f aca="false">K66/INDEX($L$12:$L$71,MAX($B$6,MIN($A66,$B$7)))</f>
        <v>1.15037189672728</v>
      </c>
      <c r="N66" s="27" t="n">
        <f aca="false">C66/M66</f>
        <v>312.942276340522</v>
      </c>
      <c r="O66" s="27" t="str">
        <f aca="false">IF(AND($A66&gt;=$B$6,$A66&lt;=$B$7),SUMPRODUCT(Bobot_Filter!$B$20:$B$32,N60:N72),"")</f>
        <v/>
      </c>
      <c r="P66" s="25" t="str">
        <f aca="false">IF(ISNUMBER(O66),C66/O66,"")</f>
        <v/>
      </c>
      <c r="Q66" s="25" t="n">
        <f aca="false">IF(AND($A66+(-36)&gt;=1,$A66+(-36)&lt;=$B$8),INDEX($P$12:$P$71,$A66+(-36)),"")</f>
        <v>1.16547008619818</v>
      </c>
      <c r="R66" s="25" t="n">
        <f aca="false">IF(AND($A66+(-24)&gt;=1,$A66+(-24)&lt;=$B$8),INDEX($P$12:$P$71,$A66+(-24)),"")</f>
        <v>1.12064344496924</v>
      </c>
      <c r="S66" s="25" t="n">
        <f aca="false">IF(AND($A66+(-12)&gt;=1,$A66+(-12)&lt;=$B$8),INDEX($P$12:$P$71,$A66+(-12)),"")</f>
        <v>1.1623545541647</v>
      </c>
      <c r="T66" s="25" t="str">
        <f aca="false">IF(AND($A66+(0)&gt;=1,$A66+(0)&lt;=$B$8),INDEX($P$12:$P$71,$A66+(0)),"")</f>
        <v/>
      </c>
      <c r="U66" s="25" t="str">
        <f aca="false">IF(AND($A66+(12)&gt;=1,$A66+(12)&lt;=$B$8),INDEX($P$12:$P$71,$A66+(12)),"")</f>
        <v/>
      </c>
      <c r="V66" s="25" t="str">
        <f aca="false">IF(AND($A66+(24)&gt;=1,$A66+(24)&lt;=$B$8),INDEX($P$12:$P$71,$A66+(24)),"")</f>
        <v/>
      </c>
      <c r="W66" s="25" t="str">
        <f aca="false">IF(AND($A66+(36)&gt;=1,$A66+(36)&lt;=$B$8),INDEX($P$12:$P$71,$A66+(36)),"")</f>
        <v/>
      </c>
      <c r="X66" s="25" t="n">
        <f aca="false">IF(SUMPRODUCT(Bobot_Filter!$B$43:$H$43,ISNUMBER(Q66:W66)*1)&gt;0,SUMPRODUCT(Bobot_Filter!$B$43:$H$43,Q66:W66)/SUMPRODUCT(Bobot_Filter!$B$43:$H$43,ISNUMBER(Q66:W66)*1),"")</f>
        <v>1.14897010643846</v>
      </c>
      <c r="Y66" s="25" t="str">
        <f aca="false">IF(AND($A66&gt;=$B$6,$A66&lt;=$B$7),SUMPRODUCT(Bobot_Filter!$B$4:$B$16,X60:X72),"")</f>
        <v/>
      </c>
      <c r="Z66" s="33" t="n">
        <f aca="false">X66/INDEX($Y$12:$Y$71,MAX($B$6,MIN($A66,$B$7)))</f>
        <v>1.14798506904885</v>
      </c>
      <c r="AA66" s="27" t="n">
        <f aca="false">C66/Z66</f>
        <v>313.592928781099</v>
      </c>
      <c r="AB66" s="27" t="str">
        <f aca="false">IF(AND($A66&gt;=$B$6,$A66&lt;=$B$7),SUMPRODUCT(Bobot_Filter!$B$20:$B$32,AA60:AA72),"")</f>
        <v/>
      </c>
      <c r="AC66" s="25" t="str">
        <f aca="false">IF(ISNUMBER(AB66),AA66/AB66,"")</f>
        <v/>
      </c>
      <c r="AD66" s="27" t="n">
        <f aca="false">$B$4+$B$3*A66</f>
        <v>279.282704021869</v>
      </c>
      <c r="AE66" s="27" t="n">
        <f aca="false">AD66*Z66</f>
        <v>320.612374260694</v>
      </c>
      <c r="AF66" s="28" t="n">
        <f aca="false">ABS(C66-AE66)/C66</f>
        <v>0.109410071498073</v>
      </c>
    </row>
    <row r="67" customFormat="false" ht="15" hidden="false" customHeight="false" outlineLevel="0" collapsed="false">
      <c r="A67" s="8" t="n">
        <v>56</v>
      </c>
      <c r="B67" s="22" t="n">
        <f aca="false">Data!B60</f>
        <v>46023</v>
      </c>
      <c r="C67" s="23" t="n">
        <f aca="false">Data!E60</f>
        <v>282</v>
      </c>
      <c r="D67" s="27" t="str">
        <f aca="false">IF(AND($A67&gt;=$B$6,$A67&lt;=$B$7),SUMPRODUCT(Bobot_Filter!$B$4:$B$16,C61:C73),"")</f>
        <v/>
      </c>
      <c r="E67" s="25" t="str">
        <f aca="false">IF(ISNUMBER(D67),C67/D67,"")</f>
        <v/>
      </c>
      <c r="F67" s="25" t="n">
        <f aca="false">IF(AND($A67+(-24)&gt;=1,$A67+(-24)&lt;=$B$8),INDEX($E$12:$E$71,$A67+(-24)),"")</f>
        <v>1.08379523964786</v>
      </c>
      <c r="G67" s="25" t="n">
        <f aca="false">IF(AND($A67+(-12)&gt;=1,$A67+(-12)&lt;=$B$8),INDEX($E$12:$E$71,$A67+(-12)),"")</f>
        <v>1.07422315247142</v>
      </c>
      <c r="H67" s="25" t="str">
        <f aca="false">IF(AND($A67+(0)&gt;=1,$A67+(0)&lt;=$B$8),INDEX($E$12:$E$71,$A67+(0)),"")</f>
        <v/>
      </c>
      <c r="I67" s="25" t="str">
        <f aca="false">IF(AND($A67+(12)&gt;=1,$A67+(12)&lt;=$B$8),INDEX($E$12:$E$71,$A67+(12)),"")</f>
        <v/>
      </c>
      <c r="J67" s="25" t="str">
        <f aca="false">IF(AND($A67+(24)&gt;=1,$A67+(24)&lt;=$B$8),INDEX($E$12:$E$71,$A67+(24)),"")</f>
        <v/>
      </c>
      <c r="K67" s="25" t="n">
        <f aca="false">IF(SUMPRODUCT(Bobot_Filter!$B$38:$F$38,ISNUMBER(F67:J67)*1)&gt;0,SUMPRODUCT(Bobot_Filter!$B$38:$F$38,F67:J67)/SUMPRODUCT(Bobot_Filter!$B$38:$F$38,ISNUMBER(F67:J67)*1),"")</f>
        <v>1.0774138481969</v>
      </c>
      <c r="L67" s="25" t="str">
        <f aca="false">IF(AND($A67&gt;=$B$6,$A67&lt;=$B$7),SUMPRODUCT(Bobot_Filter!$B$4:$B$16,K61:K73),"")</f>
        <v/>
      </c>
      <c r="M67" s="25" t="n">
        <f aca="false">K67/INDEX($L$12:$L$71,MAX($B$6,MIN($A67,$B$7)))</f>
        <v>1.07676247977532</v>
      </c>
      <c r="N67" s="27" t="n">
        <f aca="false">C67/M67</f>
        <v>261.896198369433</v>
      </c>
      <c r="O67" s="27" t="str">
        <f aca="false">IF(AND($A67&gt;=$B$6,$A67&lt;=$B$7),SUMPRODUCT(Bobot_Filter!$B$20:$B$32,N61:N73),"")</f>
        <v/>
      </c>
      <c r="P67" s="25" t="str">
        <f aca="false">IF(ISNUMBER(O67),C67/O67,"")</f>
        <v/>
      </c>
      <c r="Q67" s="25" t="n">
        <f aca="false">IF(AND($A67+(-36)&gt;=1,$A67+(-36)&lt;=$B$8),INDEX($P$12:$P$71,$A67+(-36)),"")</f>
        <v>1.06855250092592</v>
      </c>
      <c r="R67" s="25" t="n">
        <f aca="false">IF(AND($A67+(-24)&gt;=1,$A67+(-24)&lt;=$B$8),INDEX($P$12:$P$71,$A67+(-24)),"")</f>
        <v>1.08111664274067</v>
      </c>
      <c r="S67" s="25" t="n">
        <f aca="false">IF(AND($A67+(-12)&gt;=1,$A67+(-12)&lt;=$B$8),INDEX($P$12:$P$71,$A67+(-12)),"")</f>
        <v>1.06575287160982</v>
      </c>
      <c r="T67" s="25" t="str">
        <f aca="false">IF(AND($A67+(0)&gt;=1,$A67+(0)&lt;=$B$8),INDEX($P$12:$P$71,$A67+(0)),"")</f>
        <v/>
      </c>
      <c r="U67" s="25" t="str">
        <f aca="false">IF(AND($A67+(12)&gt;=1,$A67+(12)&lt;=$B$8),INDEX($P$12:$P$71,$A67+(12)),"")</f>
        <v/>
      </c>
      <c r="V67" s="25" t="str">
        <f aca="false">IF(AND($A67+(24)&gt;=1,$A67+(24)&lt;=$B$8),INDEX($P$12:$P$71,$A67+(24)),"")</f>
        <v/>
      </c>
      <c r="W67" s="25" t="str">
        <f aca="false">IF(AND($A67+(36)&gt;=1,$A67+(36)&lt;=$B$8),INDEX($P$12:$P$71,$A67+(36)),"")</f>
        <v/>
      </c>
      <c r="X67" s="25" t="n">
        <f aca="false">IF(SUMPRODUCT(Bobot_Filter!$B$43:$H$43,ISNUMBER(Q67:W67)*1)&gt;0,SUMPRODUCT(Bobot_Filter!$B$43:$H$43,Q67:W67)/SUMPRODUCT(Bobot_Filter!$B$43:$H$43,ISNUMBER(Q67:W67)*1),"")</f>
        <v>1.07134073353946</v>
      </c>
      <c r="Y67" s="25" t="str">
        <f aca="false">IF(AND($A67&gt;=$B$6,$A67&lt;=$B$7),SUMPRODUCT(Bobot_Filter!$B$4:$B$16,X61:X73),"")</f>
        <v/>
      </c>
      <c r="Z67" s="33" t="n">
        <f aca="false">X67/INDEX($Y$12:$Y$71,MAX($B$6,MIN($A67,$B$7)))</f>
        <v>1.07042224952178</v>
      </c>
      <c r="AA67" s="27" t="n">
        <f aca="false">C67/Z67</f>
        <v>263.447438733627</v>
      </c>
      <c r="AB67" s="27" t="str">
        <f aca="false">IF(AND($A67&gt;=$B$6,$A67&lt;=$B$7),SUMPRODUCT(Bobot_Filter!$B$20:$B$32,AA61:AA73),"")</f>
        <v/>
      </c>
      <c r="AC67" s="25" t="str">
        <f aca="false">IF(ISNUMBER(AB67),AA67/AB67,"")</f>
        <v/>
      </c>
      <c r="AD67" s="27" t="n">
        <f aca="false">$B$4+$B$3*A67</f>
        <v>280.355502273768</v>
      </c>
      <c r="AE67" s="27" t="n">
        <f aca="false">AD67*Z67</f>
        <v>300.098767409695</v>
      </c>
      <c r="AF67" s="28" t="n">
        <f aca="false">ABS(C67-AE67)/C67</f>
        <v>0.0641800262755139</v>
      </c>
    </row>
    <row r="68" customFormat="false" ht="15" hidden="false" customHeight="false" outlineLevel="0" collapsed="false">
      <c r="A68" s="8" t="n">
        <v>57</v>
      </c>
      <c r="B68" s="22" t="n">
        <f aca="false">Data!B61</f>
        <v>46054</v>
      </c>
      <c r="C68" s="23" t="n">
        <f aca="false">Data!E61</f>
        <v>307</v>
      </c>
      <c r="D68" s="27" t="str">
        <f aca="false">IF(AND($A68&gt;=$B$6,$A68&lt;=$B$7),SUMPRODUCT(Bobot_Filter!$B$4:$B$16,C62:C74),"")</f>
        <v/>
      </c>
      <c r="E68" s="25" t="str">
        <f aca="false">IF(ISNUMBER(D68),C68/D68,"")</f>
        <v/>
      </c>
      <c r="F68" s="25" t="n">
        <f aca="false">IF(AND($A68+(-24)&gt;=1,$A68+(-24)&lt;=$B$8),INDEX($E$12:$E$71,$A68+(-24)),"")</f>
        <v>0.971755102040816</v>
      </c>
      <c r="G68" s="25" t="n">
        <f aca="false">IF(AND($A68+(-12)&gt;=1,$A68+(-12)&lt;=$B$8),INDEX($E$12:$E$71,$A68+(-12)),"")</f>
        <v>0.974268818922807</v>
      </c>
      <c r="H68" s="25" t="str">
        <f aca="false">IF(AND($A68+(0)&gt;=1,$A68+(0)&lt;=$B$8),INDEX($E$12:$E$71,$A68+(0)),"")</f>
        <v/>
      </c>
      <c r="I68" s="25" t="str">
        <f aca="false">IF(AND($A68+(12)&gt;=1,$A68+(12)&lt;=$B$8),INDEX($E$12:$E$71,$A68+(12)),"")</f>
        <v/>
      </c>
      <c r="J68" s="25" t="str">
        <f aca="false">IF(AND($A68+(24)&gt;=1,$A68+(24)&lt;=$B$8),INDEX($E$12:$E$71,$A68+(24)),"")</f>
        <v/>
      </c>
      <c r="K68" s="25" t="n">
        <f aca="false">IF(SUMPRODUCT(Bobot_Filter!$B$38:$F$38,ISNUMBER(F68:J68)*1)&gt;0,SUMPRODUCT(Bobot_Filter!$B$38:$F$38,F68:J68)/SUMPRODUCT(Bobot_Filter!$B$38:$F$38,ISNUMBER(F68:J68)*1),"")</f>
        <v>0.973430913295477</v>
      </c>
      <c r="L68" s="25" t="str">
        <f aca="false">IF(AND($A68&gt;=$B$6,$A68&lt;=$B$7),SUMPRODUCT(Bobot_Filter!$B$4:$B$16,K62:K74),"")</f>
        <v/>
      </c>
      <c r="M68" s="25" t="n">
        <f aca="false">K68/INDEX($L$12:$L$71,MAX($B$6,MIN($A68,$B$7)))</f>
        <v>0.972842409482783</v>
      </c>
      <c r="N68" s="27" t="n">
        <f aca="false">C68/M68</f>
        <v>315.57012421284</v>
      </c>
      <c r="O68" s="27" t="str">
        <f aca="false">IF(AND($A68&gt;=$B$6,$A68&lt;=$B$7),SUMPRODUCT(Bobot_Filter!$B$20:$B$32,N62:N74),"")</f>
        <v/>
      </c>
      <c r="P68" s="25" t="str">
        <f aca="false">IF(ISNUMBER(O68),C68/O68,"")</f>
        <v/>
      </c>
      <c r="Q68" s="25" t="n">
        <f aca="false">IF(AND($A68+(-36)&gt;=1,$A68+(-36)&lt;=$B$8),INDEX($P$12:$P$71,$A68+(-36)),"")</f>
        <v>0.926226039020493</v>
      </c>
      <c r="R68" s="25" t="n">
        <f aca="false">IF(AND($A68+(-24)&gt;=1,$A68+(-24)&lt;=$B$8),INDEX($P$12:$P$71,$A68+(-24)),"")</f>
        <v>0.969582287147829</v>
      </c>
      <c r="S68" s="25" t="n">
        <f aca="false">IF(AND($A68+(-12)&gt;=1,$A68+(-12)&lt;=$B$8),INDEX($P$12:$P$71,$A68+(-12)),"")</f>
        <v>0.967955784643531</v>
      </c>
      <c r="T68" s="25" t="str">
        <f aca="false">IF(AND($A68+(0)&gt;=1,$A68+(0)&lt;=$B$8),INDEX($P$12:$P$71,$A68+(0)),"")</f>
        <v/>
      </c>
      <c r="U68" s="25" t="str">
        <f aca="false">IF(AND($A68+(12)&gt;=1,$A68+(12)&lt;=$B$8),INDEX($P$12:$P$71,$A68+(12)),"")</f>
        <v/>
      </c>
      <c r="V68" s="25" t="str">
        <f aca="false">IF(AND($A68+(24)&gt;=1,$A68+(24)&lt;=$B$8),INDEX($P$12:$P$71,$A68+(24)),"")</f>
        <v/>
      </c>
      <c r="W68" s="25" t="str">
        <f aca="false">IF(AND($A68+(36)&gt;=1,$A68+(36)&lt;=$B$8),INDEX($P$12:$P$71,$A68+(36)),"")</f>
        <v/>
      </c>
      <c r="X68" s="25" t="n">
        <f aca="false">IF(SUMPRODUCT(Bobot_Filter!$B$43:$H$43,ISNUMBER(Q68:W68)*1)&gt;0,SUMPRODUCT(Bobot_Filter!$B$43:$H$43,Q68:W68)/SUMPRODUCT(Bobot_Filter!$B$43:$H$43,ISNUMBER(Q68:W68)*1),"")</f>
        <v>0.961542994541124</v>
      </c>
      <c r="Y68" s="25" t="str">
        <f aca="false">IF(AND($A68&gt;=$B$6,$A68&lt;=$B$7),SUMPRODUCT(Bobot_Filter!$B$4:$B$16,X62:X74),"")</f>
        <v/>
      </c>
      <c r="Z68" s="33" t="n">
        <f aca="false">X68/INDEX($Y$12:$Y$71,MAX($B$6,MIN($A68,$B$7)))</f>
        <v>0.960718642544466</v>
      </c>
      <c r="AA68" s="27" t="n">
        <f aca="false">C68/Z68</f>
        <v>319.552454178374</v>
      </c>
      <c r="AB68" s="27" t="str">
        <f aca="false">IF(AND($A68&gt;=$B$6,$A68&lt;=$B$7),SUMPRODUCT(Bobot_Filter!$B$20:$B$32,AA62:AA74),"")</f>
        <v/>
      </c>
      <c r="AC68" s="25" t="str">
        <f aca="false">IF(ISNUMBER(AB68),AA68/AB68,"")</f>
        <v/>
      </c>
      <c r="AD68" s="27" t="n">
        <f aca="false">$B$4+$B$3*A68</f>
        <v>281.428300525667</v>
      </c>
      <c r="AE68" s="27" t="n">
        <f aca="false">AD68*Z68</f>
        <v>270.373414854615</v>
      </c>
      <c r="AF68" s="28" t="n">
        <f aca="false">ABS(C68-AE68)/C68</f>
        <v>0.119304837607117</v>
      </c>
    </row>
    <row r="69" customFormat="false" ht="15" hidden="false" customHeight="false" outlineLevel="0" collapsed="false">
      <c r="A69" s="8" t="n">
        <v>58</v>
      </c>
      <c r="B69" s="22" t="n">
        <f aca="false">Data!B62</f>
        <v>46082</v>
      </c>
      <c r="C69" s="23" t="n">
        <f aca="false">Data!E62</f>
        <v>362</v>
      </c>
      <c r="D69" s="27" t="str">
        <f aca="false">IF(AND($A69&gt;=$B$6,$A69&lt;=$B$7),SUMPRODUCT(Bobot_Filter!$B$4:$B$16,C63:C75),"")</f>
        <v/>
      </c>
      <c r="E69" s="25" t="str">
        <f aca="false">IF(ISNUMBER(D69),C69/D69,"")</f>
        <v/>
      </c>
      <c r="F69" s="25" t="n">
        <f aca="false">IF(AND($A69+(-24)&gt;=1,$A69+(-24)&lt;=$B$8),INDEX($E$12:$E$71,$A69+(-24)),"")</f>
        <v>1.09929658105676</v>
      </c>
      <c r="G69" s="25" t="n">
        <f aca="false">IF(AND($A69+(-12)&gt;=1,$A69+(-12)&lt;=$B$8),INDEX($E$12:$E$71,$A69+(-12)),"")</f>
        <v>1.27373242773653</v>
      </c>
      <c r="H69" s="25" t="str">
        <f aca="false">IF(AND($A69+(0)&gt;=1,$A69+(0)&lt;=$B$8),INDEX($E$12:$E$71,$A69+(0)),"")</f>
        <v/>
      </c>
      <c r="I69" s="25" t="str">
        <f aca="false">IF(AND($A69+(12)&gt;=1,$A69+(12)&lt;=$B$8),INDEX($E$12:$E$71,$A69+(12)),"")</f>
        <v/>
      </c>
      <c r="J69" s="25" t="str">
        <f aca="false">IF(AND($A69+(24)&gt;=1,$A69+(24)&lt;=$B$8),INDEX($E$12:$E$71,$A69+(24)),"")</f>
        <v/>
      </c>
      <c r="K69" s="25" t="n">
        <f aca="false">IF(SUMPRODUCT(Bobot_Filter!$B$38:$F$38,ISNUMBER(F69:J69)*1)&gt;0,SUMPRODUCT(Bobot_Filter!$B$38:$F$38,F69:J69)/SUMPRODUCT(Bobot_Filter!$B$38:$F$38,ISNUMBER(F69:J69)*1),"")</f>
        <v>1.21558714550994</v>
      </c>
      <c r="L69" s="25" t="str">
        <f aca="false">IF(AND($A69&gt;=$B$6,$A69&lt;=$B$7),SUMPRODUCT(Bobot_Filter!$B$4:$B$16,K63:K75),"")</f>
        <v/>
      </c>
      <c r="M69" s="25" t="n">
        <f aca="false">K69/INDEX($L$12:$L$71,MAX($B$6,MIN($A69,$B$7)))</f>
        <v>1.21485224212849</v>
      </c>
      <c r="N69" s="27" t="n">
        <f aca="false">C69/M69</f>
        <v>297.978624433993</v>
      </c>
      <c r="O69" s="27" t="str">
        <f aca="false">IF(AND($A69&gt;=$B$6,$A69&lt;=$B$7),SUMPRODUCT(Bobot_Filter!$B$20:$B$32,N63:N75),"")</f>
        <v/>
      </c>
      <c r="P69" s="25" t="str">
        <f aca="false">IF(ISNUMBER(O69),C69/O69,"")</f>
        <v/>
      </c>
      <c r="Q69" s="25" t="n">
        <f aca="false">IF(AND($A69+(-36)&gt;=1,$A69+(-36)&lt;=$B$8),INDEX($P$12:$P$71,$A69+(-36)),"")</f>
        <v>1.03484173452625</v>
      </c>
      <c r="R69" s="25" t="n">
        <f aca="false">IF(AND($A69+(-24)&gt;=1,$A69+(-24)&lt;=$B$8),INDEX($P$12:$P$71,$A69+(-24)),"")</f>
        <v>1.09552188569791</v>
      </c>
      <c r="S69" s="25" t="n">
        <f aca="false">IF(AND($A69+(-12)&gt;=1,$A69+(-12)&lt;=$B$8),INDEX($P$12:$P$71,$A69+(-12)),"")</f>
        <v>1.27820691251731</v>
      </c>
      <c r="T69" s="25" t="str">
        <f aca="false">IF(AND($A69+(0)&gt;=1,$A69+(0)&lt;=$B$8),INDEX($P$12:$P$71,$A69+(0)),"")</f>
        <v/>
      </c>
      <c r="U69" s="25" t="str">
        <f aca="false">IF(AND($A69+(12)&gt;=1,$A69+(12)&lt;=$B$8),INDEX($P$12:$P$71,$A69+(12)),"")</f>
        <v/>
      </c>
      <c r="V69" s="25" t="str">
        <f aca="false">IF(AND($A69+(24)&gt;=1,$A69+(24)&lt;=$B$8),INDEX($P$12:$P$71,$A69+(24)),"")</f>
        <v/>
      </c>
      <c r="W69" s="25" t="str">
        <f aca="false">IF(AND($A69+(36)&gt;=1,$A69+(36)&lt;=$B$8),INDEX($P$12:$P$71,$A69+(36)),"")</f>
        <v/>
      </c>
      <c r="X69" s="25" t="n">
        <f aca="false">IF(SUMPRODUCT(Bobot_Filter!$B$43:$H$43,ISNUMBER(Q69:W69)*1)&gt;0,SUMPRODUCT(Bobot_Filter!$B$43:$H$43,Q69:W69)/SUMPRODUCT(Bobot_Filter!$B$43:$H$43,ISNUMBER(Q69:W69)*1),"")</f>
        <v>1.176751040579</v>
      </c>
      <c r="Y69" s="25" t="str">
        <f aca="false">IF(AND($A69&gt;=$B$6,$A69&lt;=$B$7),SUMPRODUCT(Bobot_Filter!$B$4:$B$16,X63:X75),"")</f>
        <v/>
      </c>
      <c r="Z69" s="33" t="n">
        <f aca="false">X69/INDEX($Y$12:$Y$71,MAX($B$6,MIN($A69,$B$7)))</f>
        <v>1.1757421859824</v>
      </c>
      <c r="AA69" s="27" t="n">
        <f aca="false">C69/Z69</f>
        <v>307.890627993014</v>
      </c>
      <c r="AB69" s="27" t="str">
        <f aca="false">IF(AND($A69&gt;=$B$6,$A69&lt;=$B$7),SUMPRODUCT(Bobot_Filter!$B$20:$B$32,AA63:AA75),"")</f>
        <v/>
      </c>
      <c r="AC69" s="25" t="str">
        <f aca="false">IF(ISNUMBER(AB69),AA69/AB69,"")</f>
        <v/>
      </c>
      <c r="AD69" s="27" t="n">
        <f aca="false">$B$4+$B$3*A69</f>
        <v>282.501098777567</v>
      </c>
      <c r="AE69" s="27" t="n">
        <f aca="false">AD69*Z69</f>
        <v>332.148459419166</v>
      </c>
      <c r="AF69" s="28" t="n">
        <f aca="false">ABS(C69-AE69)/C69</f>
        <v>0.0824628192840722</v>
      </c>
    </row>
    <row r="70" customFormat="false" ht="15" hidden="false" customHeight="false" outlineLevel="0" collapsed="false">
      <c r="A70" s="8" t="n">
        <v>59</v>
      </c>
      <c r="B70" s="22" t="n">
        <f aca="false">Data!B63</f>
        <v>46113</v>
      </c>
      <c r="C70" s="23" t="n">
        <f aca="false">Data!E63</f>
        <v>270</v>
      </c>
      <c r="D70" s="27" t="str">
        <f aca="false">IF(AND($A70&gt;=$B$6,$A70&lt;=$B$7),SUMPRODUCT(Bobot_Filter!$B$4:$B$16,C64:C76),"")</f>
        <v/>
      </c>
      <c r="E70" s="25" t="str">
        <f aca="false">IF(ISNUMBER(D70),C70/D70,"")</f>
        <v/>
      </c>
      <c r="F70" s="25" t="n">
        <f aca="false">IF(AND($A70+(-24)&gt;=1,$A70+(-24)&lt;=$B$8),INDEX($E$12:$E$71,$A70+(-24)),"")</f>
        <v>1.15505913272011</v>
      </c>
      <c r="G70" s="25" t="n">
        <f aca="false">IF(AND($A70+(-12)&gt;=1,$A70+(-12)&lt;=$B$8),INDEX($E$12:$E$71,$A70+(-12)),"")</f>
        <v>0.993000466635558</v>
      </c>
      <c r="H70" s="25" t="str">
        <f aca="false">IF(AND($A70+(0)&gt;=1,$A70+(0)&lt;=$B$8),INDEX($E$12:$E$71,$A70+(0)),"")</f>
        <v/>
      </c>
      <c r="I70" s="25" t="str">
        <f aca="false">IF(AND($A70+(12)&gt;=1,$A70+(12)&lt;=$B$8),INDEX($E$12:$E$71,$A70+(12)),"")</f>
        <v/>
      </c>
      <c r="J70" s="25" t="str">
        <f aca="false">IF(AND($A70+(24)&gt;=1,$A70+(24)&lt;=$B$8),INDEX($E$12:$E$71,$A70+(24)),"")</f>
        <v/>
      </c>
      <c r="K70" s="25" t="n">
        <f aca="false">IF(SUMPRODUCT(Bobot_Filter!$B$38:$F$38,ISNUMBER(F70:J70)*1)&gt;0,SUMPRODUCT(Bobot_Filter!$B$38:$F$38,F70:J70)/SUMPRODUCT(Bobot_Filter!$B$38:$F$38,ISNUMBER(F70:J70)*1),"")</f>
        <v>1.04702002199707</v>
      </c>
      <c r="L70" s="25" t="str">
        <f aca="false">IF(AND($A70&gt;=$B$6,$A70&lt;=$B$7),SUMPRODUCT(Bobot_Filter!$B$4:$B$16,K64:K76),"")</f>
        <v/>
      </c>
      <c r="M70" s="25" t="n">
        <f aca="false">K70/INDEX($L$12:$L$71,MAX($B$6,MIN($A70,$B$7)))</f>
        <v>1.04638702866751</v>
      </c>
      <c r="N70" s="27" t="n">
        <f aca="false">C70/M70</f>
        <v>258.030721523588</v>
      </c>
      <c r="O70" s="27" t="str">
        <f aca="false">IF(AND($A70&gt;=$B$6,$A70&lt;=$B$7),SUMPRODUCT(Bobot_Filter!$B$20:$B$32,N64:N76),"")</f>
        <v/>
      </c>
      <c r="P70" s="25" t="str">
        <f aca="false">IF(ISNUMBER(O70),C70/O70,"")</f>
        <v/>
      </c>
      <c r="Q70" s="25" t="n">
        <f aca="false">IF(AND($A70+(-36)&gt;=1,$A70+(-36)&lt;=$B$8),INDEX($P$12:$P$71,$A70+(-36)),"")</f>
        <v>1.25387261773949</v>
      </c>
      <c r="R70" s="25" t="n">
        <f aca="false">IF(AND($A70+(-24)&gt;=1,$A70+(-24)&lt;=$B$8),INDEX($P$12:$P$71,$A70+(-24)),"")</f>
        <v>1.1472374888902</v>
      </c>
      <c r="S70" s="25" t="n">
        <f aca="false">IF(AND($A70+(-12)&gt;=1,$A70+(-12)&lt;=$B$8),INDEX($P$12:$P$71,$A70+(-12)),"")</f>
        <v>1.0105368685175</v>
      </c>
      <c r="T70" s="25" t="str">
        <f aca="false">IF(AND($A70+(0)&gt;=1,$A70+(0)&lt;=$B$8),INDEX($P$12:$P$71,$A70+(0)),"")</f>
        <v/>
      </c>
      <c r="U70" s="25" t="str">
        <f aca="false">IF(AND($A70+(12)&gt;=1,$A70+(12)&lt;=$B$8),INDEX($P$12:$P$71,$A70+(12)),"")</f>
        <v/>
      </c>
      <c r="V70" s="25" t="str">
        <f aca="false">IF(AND($A70+(24)&gt;=1,$A70+(24)&lt;=$B$8),INDEX($P$12:$P$71,$A70+(24)),"")</f>
        <v/>
      </c>
      <c r="W70" s="25" t="str">
        <f aca="false">IF(AND($A70+(36)&gt;=1,$A70+(36)&lt;=$B$8),INDEX($P$12:$P$71,$A70+(36)),"")</f>
        <v/>
      </c>
      <c r="X70" s="25" t="n">
        <f aca="false">IF(SUMPRODUCT(Bobot_Filter!$B$43:$H$43,ISNUMBER(Q70:W70)*1)&gt;0,SUMPRODUCT(Bobot_Filter!$B$43:$H$43,Q70:W70)/SUMPRODUCT(Bobot_Filter!$B$43:$H$43,ISNUMBER(Q70:W70)*1),"")</f>
        <v>1.09665970017873</v>
      </c>
      <c r="Y70" s="25" t="str">
        <f aca="false">IF(AND($A70&gt;=$B$6,$A70&lt;=$B$7),SUMPRODUCT(Bobot_Filter!$B$4:$B$16,X64:X76),"")</f>
        <v/>
      </c>
      <c r="Z70" s="33" t="n">
        <f aca="false">X70/INDEX($Y$12:$Y$71,MAX($B$6,MIN($A70,$B$7)))</f>
        <v>1.09571950965305</v>
      </c>
      <c r="AA70" s="27" t="n">
        <f aca="false">C70/Z70</f>
        <v>246.413427543598</v>
      </c>
      <c r="AB70" s="27" t="str">
        <f aca="false">IF(AND($A70&gt;=$B$6,$A70&lt;=$B$7),SUMPRODUCT(Bobot_Filter!$B$20:$B$32,AA64:AA76),"")</f>
        <v/>
      </c>
      <c r="AC70" s="25" t="str">
        <f aca="false">IF(ISNUMBER(AB70),AA70/AB70,"")</f>
        <v/>
      </c>
      <c r="AD70" s="27" t="n">
        <f aca="false">$B$4+$B$3*A70</f>
        <v>283.573897029466</v>
      </c>
      <c r="AE70" s="27" t="n">
        <f aca="false">AD70*Z70</f>
        <v>310.717451403533</v>
      </c>
      <c r="AF70" s="28" t="n">
        <f aca="false">ABS(C70-AE70)/C70</f>
        <v>0.150805375568639</v>
      </c>
    </row>
    <row r="71" customFormat="false" ht="15" hidden="false" customHeight="false" outlineLevel="0" collapsed="false">
      <c r="A71" s="8" t="n">
        <v>60</v>
      </c>
      <c r="B71" s="22" t="n">
        <f aca="false">Data!B64</f>
        <v>46143</v>
      </c>
      <c r="C71" s="23" t="n">
        <f aca="false">Data!E64</f>
        <v>294</v>
      </c>
      <c r="D71" s="27" t="str">
        <f aca="false">IF(AND($A71&gt;=$B$6,$A71&lt;=$B$7),SUMPRODUCT(Bobot_Filter!$B$4:$B$16,C65:C77),"")</f>
        <v/>
      </c>
      <c r="E71" s="25" t="str">
        <f aca="false">IF(ISNUMBER(D71),C71/D71,"")</f>
        <v/>
      </c>
      <c r="F71" s="25" t="n">
        <f aca="false">IF(AND($A71+(-24)&gt;=1,$A71+(-24)&lt;=$B$8),INDEX($E$12:$E$71,$A71+(-24)),"")</f>
        <v>0.951785420437716</v>
      </c>
      <c r="G71" s="25" t="n">
        <f aca="false">IF(AND($A71+(-12)&gt;=1,$A71+(-12)&lt;=$B$8),INDEX($E$12:$E$71,$A71+(-12)),"")</f>
        <v>0.894615738610216</v>
      </c>
      <c r="H71" s="25" t="str">
        <f aca="false">IF(AND($A71+(0)&gt;=1,$A71+(0)&lt;=$B$8),INDEX($E$12:$E$71,$A71+(0)),"")</f>
        <v/>
      </c>
      <c r="I71" s="25" t="str">
        <f aca="false">IF(AND($A71+(12)&gt;=1,$A71+(12)&lt;=$B$8),INDEX($E$12:$E$71,$A71+(12)),"")</f>
        <v/>
      </c>
      <c r="J71" s="25" t="str">
        <f aca="false">IF(AND($A71+(24)&gt;=1,$A71+(24)&lt;=$B$8),INDEX($E$12:$E$71,$A71+(24)),"")</f>
        <v/>
      </c>
      <c r="K71" s="25" t="n">
        <f aca="false">IF(SUMPRODUCT(Bobot_Filter!$B$38:$F$38,ISNUMBER(F71:J71)*1)&gt;0,SUMPRODUCT(Bobot_Filter!$B$38:$F$38,F71:J71)/SUMPRODUCT(Bobot_Filter!$B$38:$F$38,ISNUMBER(F71:J71)*1),"")</f>
        <v>0.913672299219383</v>
      </c>
      <c r="L71" s="25" t="str">
        <f aca="false">IF(AND($A71&gt;=$B$6,$A71&lt;=$B$7),SUMPRODUCT(Bobot_Filter!$B$4:$B$16,K65:K77),"")</f>
        <v/>
      </c>
      <c r="M71" s="25" t="n">
        <f aca="false">K71/INDEX($L$12:$L$71,MAX($B$6,MIN($A71,$B$7)))</f>
        <v>0.913119923468522</v>
      </c>
      <c r="N71" s="27" t="n">
        <f aca="false">C71/M71</f>
        <v>321.973042580464</v>
      </c>
      <c r="O71" s="27" t="str">
        <f aca="false">IF(AND($A71&gt;=$B$6,$A71&lt;=$B$7),SUMPRODUCT(Bobot_Filter!$B$20:$B$32,N65:N77),"")</f>
        <v/>
      </c>
      <c r="P71" s="25" t="str">
        <f aca="false">IF(ISNUMBER(O71),C71/O71,"")</f>
        <v/>
      </c>
      <c r="Q71" s="25" t="n">
        <f aca="false">IF(AND($A71+(-36)&gt;=1,$A71+(-36)&lt;=$B$8),INDEX($P$12:$P$71,$A71+(-36)),"")</f>
        <v>0.926608537456975</v>
      </c>
      <c r="R71" s="25" t="n">
        <f aca="false">IF(AND($A71+(-24)&gt;=1,$A71+(-24)&lt;=$B$8),INDEX($P$12:$P$71,$A71+(-24)),"")</f>
        <v>0.947012247366312</v>
      </c>
      <c r="S71" s="25" t="n">
        <f aca="false">IF(AND($A71+(-12)&gt;=1,$A71+(-12)&lt;=$B$8),INDEX($P$12:$P$71,$A71+(-12)),"")</f>
        <v>0.916976624866307</v>
      </c>
      <c r="T71" s="25" t="str">
        <f aca="false">IF(AND($A71+(0)&gt;=1,$A71+(0)&lt;=$B$8),INDEX($P$12:$P$71,$A71+(0)),"")</f>
        <v/>
      </c>
      <c r="U71" s="25" t="str">
        <f aca="false">IF(AND($A71+(12)&gt;=1,$A71+(12)&lt;=$B$8),INDEX($P$12:$P$71,$A71+(12)),"")</f>
        <v/>
      </c>
      <c r="V71" s="25" t="str">
        <f aca="false">IF(AND($A71+(24)&gt;=1,$A71+(24)&lt;=$B$8),INDEX($P$12:$P$71,$A71+(24)),"")</f>
        <v/>
      </c>
      <c r="W71" s="25" t="str">
        <f aca="false">IF(AND($A71+(36)&gt;=1,$A71+(36)&lt;=$B$8),INDEX($P$12:$P$71,$A71+(36)),"")</f>
        <v/>
      </c>
      <c r="X71" s="25" t="n">
        <f aca="false">IF(SUMPRODUCT(Bobot_Filter!$B$43:$H$43,ISNUMBER(Q71:W71)*1)&gt;0,SUMPRODUCT(Bobot_Filter!$B$43:$H$43,Q71:W71)/SUMPRODUCT(Bobot_Filter!$B$43:$H$43,ISNUMBER(Q71:W71)*1),"")</f>
        <v>0.928593817798087</v>
      </c>
      <c r="Y71" s="25" t="str">
        <f aca="false">IF(AND($A71&gt;=$B$6,$A71&lt;=$B$7),SUMPRODUCT(Bobot_Filter!$B$4:$B$16,X65:X77),"")</f>
        <v/>
      </c>
      <c r="Z71" s="33" t="n">
        <f aca="false">X71/INDEX($Y$12:$Y$71,MAX($B$6,MIN($A71,$B$7)))</f>
        <v>0.92779771385668</v>
      </c>
      <c r="AA71" s="27" t="n">
        <f aca="false">C71/Z71</f>
        <v>316.879418443378</v>
      </c>
      <c r="AB71" s="27" t="str">
        <f aca="false">IF(AND($A71&gt;=$B$6,$A71&lt;=$B$7),SUMPRODUCT(Bobot_Filter!$B$20:$B$32,AA65:AA77),"")</f>
        <v/>
      </c>
      <c r="AC71" s="25" t="str">
        <f aca="false">IF(ISNUMBER(AB71),AA71/AB71,"")</f>
        <v/>
      </c>
      <c r="AD71" s="27" t="n">
        <f aca="false">$B$4+$B$3*A71</f>
        <v>284.646695281366</v>
      </c>
      <c r="AE71" s="27" t="n">
        <f aca="false">AD71*Z71</f>
        <v>264.09455313891</v>
      </c>
      <c r="AF71" s="28" t="n">
        <f aca="false">ABS(C71-AE71)/C71</f>
        <v>0.10171920701051</v>
      </c>
    </row>
    <row r="72" customFormat="false" ht="15" hidden="false" customHeight="false" outlineLevel="0" collapsed="false">
      <c r="A72" s="8" t="n">
        <v>61</v>
      </c>
      <c r="B72" s="29" t="n">
        <f aca="false">EDATE(B71,1)</f>
        <v>46174</v>
      </c>
      <c r="Z72" s="33" t="n">
        <f aca="false">Z60</f>
        <v>0.91644276019814</v>
      </c>
      <c r="AD72" s="27" t="n">
        <f aca="false">$B$4+$B$3*A72</f>
        <v>285.719493533265</v>
      </c>
      <c r="AE72" s="30" t="n">
        <f aca="false">AD72*Z72</f>
        <v>261.84556129604</v>
      </c>
    </row>
    <row r="73" customFormat="false" ht="15" hidden="false" customHeight="false" outlineLevel="0" collapsed="false">
      <c r="A73" s="8" t="n">
        <v>62</v>
      </c>
      <c r="B73" s="29" t="n">
        <f aca="false">EDATE(B72,1)</f>
        <v>46204</v>
      </c>
      <c r="Z73" s="33" t="n">
        <f aca="false">Z61</f>
        <v>1.02432336443433</v>
      </c>
      <c r="AD73" s="27" t="n">
        <f aca="false">$B$4+$B$3*A73</f>
        <v>286.792291785165</v>
      </c>
      <c r="AE73" s="30" t="n">
        <f aca="false">AD73*Z73</f>
        <v>293.768045215211</v>
      </c>
    </row>
    <row r="74" customFormat="false" ht="15" hidden="false" customHeight="false" outlineLevel="0" collapsed="false">
      <c r="A74" s="8" t="n">
        <v>63</v>
      </c>
      <c r="B74" s="29" t="n">
        <f aca="false">EDATE(B73,1)</f>
        <v>46235</v>
      </c>
      <c r="Z74" s="33" t="n">
        <f aca="false">Z62</f>
        <v>0.895339874290958</v>
      </c>
      <c r="AD74" s="27" t="n">
        <f aca="false">$B$4+$B$3*A74</f>
        <v>287.865090037064</v>
      </c>
      <c r="AE74" s="30" t="n">
        <f aca="false">AD74*Z74</f>
        <v>257.73709352654</v>
      </c>
    </row>
    <row r="75" customFormat="false" ht="15" hidden="false" customHeight="false" outlineLevel="0" collapsed="false">
      <c r="A75" s="8" t="n">
        <v>64</v>
      </c>
      <c r="B75" s="29" t="n">
        <f aca="false">EDATE(B74,1)</f>
        <v>46266</v>
      </c>
      <c r="Z75" s="33" t="n">
        <f aca="false">Z63</f>
        <v>0.928981885209535</v>
      </c>
      <c r="AD75" s="27" t="n">
        <f aca="false">$B$4+$B$3*A75</f>
        <v>288.937888288963</v>
      </c>
      <c r="AE75" s="30" t="n">
        <f aca="false">AD75*Z75</f>
        <v>268.418064171143</v>
      </c>
    </row>
    <row r="76" customFormat="false" ht="15" hidden="false" customHeight="false" outlineLevel="0" collapsed="false">
      <c r="A76" s="8" t="n">
        <v>65</v>
      </c>
      <c r="B76" s="29" t="n">
        <f aca="false">EDATE(B75,1)</f>
        <v>46296</v>
      </c>
      <c r="Z76" s="33" t="n">
        <f aca="false">Z64</f>
        <v>0.915603846802888</v>
      </c>
      <c r="AD76" s="27" t="n">
        <f aca="false">$B$4+$B$3*A76</f>
        <v>290.010686540863</v>
      </c>
      <c r="AE76" s="30" t="n">
        <f aca="false">AD76*Z76</f>
        <v>265.534900210761</v>
      </c>
    </row>
    <row r="77" customFormat="false" ht="15" hidden="false" customHeight="false" outlineLevel="0" collapsed="false">
      <c r="A77" s="8" t="n">
        <v>66</v>
      </c>
      <c r="B77" s="29" t="n">
        <f aca="false">EDATE(B76,1)</f>
        <v>46327</v>
      </c>
      <c r="Z77" s="33" t="n">
        <f aca="false">Z65</f>
        <v>0.933442854894787</v>
      </c>
      <c r="AD77" s="27" t="n">
        <f aca="false">$B$4+$B$3*A77</f>
        <v>291.083484792762</v>
      </c>
      <c r="AE77" s="30" t="n">
        <f aca="false">AD77*Z77</f>
        <v>271.709799057679</v>
      </c>
    </row>
    <row r="78" customFormat="false" ht="15" hidden="false" customHeight="false" outlineLevel="0" collapsed="false">
      <c r="A78" s="8" t="n">
        <v>67</v>
      </c>
      <c r="B78" s="29" t="n">
        <f aca="false">EDATE(B77,1)</f>
        <v>46357</v>
      </c>
      <c r="Z78" s="33" t="n">
        <f aca="false">Z66</f>
        <v>1.14798506904885</v>
      </c>
      <c r="AD78" s="27" t="n">
        <f aca="false">$B$4+$B$3*A78</f>
        <v>292.156283044662</v>
      </c>
      <c r="AE78" s="30" t="n">
        <f aca="false">AD78*Z78</f>
        <v>335.391050764081</v>
      </c>
    </row>
    <row r="79" customFormat="false" ht="15" hidden="false" customHeight="false" outlineLevel="0" collapsed="false">
      <c r="A79" s="8" t="n">
        <v>68</v>
      </c>
      <c r="B79" s="29" t="n">
        <f aca="false">EDATE(B78,1)</f>
        <v>46388</v>
      </c>
      <c r="Z79" s="33" t="n">
        <f aca="false">Z67</f>
        <v>1.07042224952178</v>
      </c>
      <c r="AD79" s="27" t="n">
        <f aca="false">$B$4+$B$3*A79</f>
        <v>293.229081296561</v>
      </c>
      <c r="AE79" s="30" t="n">
        <f aca="false">AD79*Z79</f>
        <v>313.87893282667</v>
      </c>
    </row>
    <row r="80" customFormat="false" ht="15" hidden="false" customHeight="false" outlineLevel="0" collapsed="false">
      <c r="A80" s="8" t="n">
        <v>69</v>
      </c>
      <c r="B80" s="29" t="n">
        <f aca="false">EDATE(B79,1)</f>
        <v>46419</v>
      </c>
      <c r="Z80" s="33" t="n">
        <f aca="false">Z68</f>
        <v>0.960718642544466</v>
      </c>
      <c r="AD80" s="27" t="n">
        <f aca="false">$B$4+$B$3*A80</f>
        <v>294.301879548461</v>
      </c>
      <c r="AE80" s="30" t="n">
        <f aca="false">AD80*Z80</f>
        <v>282.741302218082</v>
      </c>
    </row>
    <row r="81" customFormat="false" ht="15" hidden="false" customHeight="false" outlineLevel="0" collapsed="false">
      <c r="A81" s="8" t="n">
        <v>70</v>
      </c>
      <c r="B81" s="29" t="n">
        <f aca="false">EDATE(B80,1)</f>
        <v>46447</v>
      </c>
      <c r="Z81" s="33" t="n">
        <f aca="false">Z69</f>
        <v>1.1757421859824</v>
      </c>
      <c r="AD81" s="27" t="n">
        <f aca="false">$B$4+$B$3*A81</f>
        <v>295.37467780036</v>
      </c>
      <c r="AE81" s="30" t="n">
        <f aca="false">AD81*Z81</f>
        <v>347.284469360842</v>
      </c>
    </row>
    <row r="82" customFormat="false" ht="15" hidden="false" customHeight="false" outlineLevel="0" collapsed="false">
      <c r="A82" s="8" t="n">
        <v>71</v>
      </c>
      <c r="B82" s="29" t="n">
        <f aca="false">EDATE(B81,1)</f>
        <v>46478</v>
      </c>
      <c r="Z82" s="33" t="n">
        <f aca="false">Z70</f>
        <v>1.09571950965305</v>
      </c>
      <c r="AD82" s="27" t="n">
        <f aca="false">$B$4+$B$3*A82</f>
        <v>296.447476052259</v>
      </c>
      <c r="AE82" s="30" t="n">
        <f aca="false">AD82*Z82</f>
        <v>324.823283097867</v>
      </c>
    </row>
    <row r="83" customFormat="false" ht="15" hidden="false" customHeight="false" outlineLevel="0" collapsed="false">
      <c r="A83" s="8" t="n">
        <v>72</v>
      </c>
      <c r="B83" s="29" t="n">
        <f aca="false">EDATE(B82,1)</f>
        <v>46508</v>
      </c>
      <c r="Z83" s="33" t="n">
        <f aca="false">Z71</f>
        <v>0.92779771385668</v>
      </c>
      <c r="AD83" s="27" t="n">
        <f aca="false">$B$4+$B$3*A83</f>
        <v>297.520274304159</v>
      </c>
      <c r="AE83" s="30" t="n">
        <f aca="false">AD83*Z83</f>
        <v>276.038630325411</v>
      </c>
    </row>
  </sheetData>
  <mergeCells count="4">
    <mergeCell ref="A10:C10"/>
    <mergeCell ref="D10:O10"/>
    <mergeCell ref="P10:AC10"/>
    <mergeCell ref="AD10:A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5" t="s">
        <v>124</v>
      </c>
    </row>
    <row r="4" customFormat="false" ht="15" hidden="false" customHeight="false" outlineLevel="0" collapsed="false">
      <c r="A4" s="7" t="s">
        <v>125</v>
      </c>
      <c r="B4" s="7" t="s">
        <v>126</v>
      </c>
      <c r="C4" s="7" t="s">
        <v>127</v>
      </c>
      <c r="D4" s="7" t="s">
        <v>128</v>
      </c>
    </row>
    <row r="5" customFormat="false" ht="15" hidden="false" customHeight="false" outlineLevel="0" collapsed="false">
      <c r="A5" s="34" t="s">
        <v>24</v>
      </c>
      <c r="B5" s="35" t="n">
        <f aca="false">TES_NasiGoreng_Uji!B7</f>
        <v>0.0699275509750514</v>
      </c>
      <c r="C5" s="35" t="n">
        <f aca="false">Census_NasiGoreng_Uji!B5</f>
        <v>0.0728070047569874</v>
      </c>
      <c r="D5" s="36" t="str">
        <f aca="false">IF(B5&lt;=C5,"TES","Census II")</f>
        <v>TES</v>
      </c>
    </row>
    <row r="6" customFormat="false" ht="15" hidden="false" customHeight="false" outlineLevel="0" collapsed="false">
      <c r="A6" s="34" t="s">
        <v>25</v>
      </c>
      <c r="B6" s="35" t="n">
        <f aca="false">TES_MieGoreng_Uji!B7</f>
        <v>0.0852363228777699</v>
      </c>
      <c r="C6" s="35" t="n">
        <f aca="false">Census_MieGoreng_Uji!B5</f>
        <v>0.108992481861746</v>
      </c>
      <c r="D6" s="36" t="str">
        <f aca="false">IF(B6&lt;=C6,"TES","Census II")</f>
        <v>TES</v>
      </c>
    </row>
    <row r="8" customFormat="false" ht="15" hidden="false" customHeight="false" outlineLevel="0" collapsed="false">
      <c r="A8" s="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10" min="5" style="0" width="12"/>
  </cols>
  <sheetData>
    <row r="1" customFormat="false" ht="16.15" hidden="false" customHeight="false" outlineLevel="0" collapsed="false">
      <c r="A1" s="5" t="s">
        <v>130</v>
      </c>
    </row>
    <row r="3" customFormat="false" ht="15" hidden="false" customHeight="false" outlineLevel="0" collapsed="false">
      <c r="A3" s="12" t="s">
        <v>131</v>
      </c>
      <c r="B3" s="37" t="n">
        <v>46174</v>
      </c>
      <c r="D3" s="6" t="s">
        <v>132</v>
      </c>
    </row>
    <row r="4" customFormat="false" ht="15" hidden="false" customHeight="false" outlineLevel="0" collapsed="false">
      <c r="A4" s="12" t="s">
        <v>133</v>
      </c>
      <c r="B4" s="37" t="n">
        <v>46203</v>
      </c>
      <c r="D4" s="6" t="s">
        <v>134</v>
      </c>
    </row>
    <row r="5" customFormat="false" ht="15" hidden="false" customHeight="false" outlineLevel="0" collapsed="false">
      <c r="A5" s="11" t="s">
        <v>135</v>
      </c>
      <c r="B5" s="38" t="n">
        <f aca="false">B4-B3+1</f>
        <v>30</v>
      </c>
    </row>
    <row r="6" customFormat="false" ht="15" hidden="false" customHeight="false" outlineLevel="0" collapsed="false">
      <c r="A6" s="12" t="s">
        <v>136</v>
      </c>
      <c r="B6" s="31" t="n">
        <f aca="false">SUM(C10:C21)</f>
        <v>30</v>
      </c>
      <c r="C6" s="11" t="str">
        <f aca="false">IF(B6=B5,"OK","Periode melewati horizon 12 bulan")</f>
        <v>OK</v>
      </c>
    </row>
    <row r="8" customFormat="false" ht="15" hidden="false" customHeight="true" outlineLevel="0" collapsed="false">
      <c r="E8" s="32" t="s">
        <v>24</v>
      </c>
      <c r="F8" s="32"/>
      <c r="G8" s="32"/>
      <c r="H8" s="32" t="s">
        <v>25</v>
      </c>
      <c r="I8" s="32"/>
      <c r="J8" s="32"/>
    </row>
    <row r="9" customFormat="false" ht="15" hidden="false" customHeight="false" outlineLevel="0" collapsed="false">
      <c r="A9" s="7" t="s">
        <v>137</v>
      </c>
      <c r="B9" s="7" t="s">
        <v>23</v>
      </c>
      <c r="C9" s="7" t="s">
        <v>138</v>
      </c>
      <c r="D9" s="7" t="s">
        <v>139</v>
      </c>
      <c r="E9" s="7" t="s">
        <v>140</v>
      </c>
      <c r="F9" s="7" t="s">
        <v>141</v>
      </c>
      <c r="G9" s="7" t="s">
        <v>142</v>
      </c>
      <c r="H9" s="7" t="s">
        <v>140</v>
      </c>
      <c r="I9" s="7" t="s">
        <v>141</v>
      </c>
      <c r="J9" s="7" t="s">
        <v>142</v>
      </c>
    </row>
    <row r="10" customFormat="false" ht="15" hidden="false" customHeight="false" outlineLevel="0" collapsed="false">
      <c r="A10" s="39" t="n">
        <f aca="false">TES_NasiGoreng!B72</f>
        <v>46174</v>
      </c>
      <c r="B10" s="8" t="n">
        <f aca="false">DAY(EOMONTH(A10,0))</f>
        <v>30</v>
      </c>
      <c r="C10" s="8" t="n">
        <f aca="false">MAX(0,MIN($B$4,EOMONTH(A10,0))-MAX($B$3,A10)+1)</f>
        <v>30</v>
      </c>
      <c r="D10" s="40" t="n">
        <f aca="false">C10/B10</f>
        <v>1</v>
      </c>
      <c r="E10" s="41" t="n">
        <f aca="false">TES_NasiGoreng!G72</f>
        <v>341.124996587028</v>
      </c>
      <c r="F10" s="41" t="n">
        <f aca="false">Census_NasiGoreng!AE72</f>
        <v>325.971811889794</v>
      </c>
      <c r="G10" s="42" t="n">
        <f aca="false">IF(Pilih_Metode!$D$5="TES",E10,F10)</f>
        <v>341.124996587028</v>
      </c>
      <c r="H10" s="41" t="n">
        <f aca="false">TES_MieGoreng!G72</f>
        <v>266.118193723522</v>
      </c>
      <c r="I10" s="41" t="n">
        <f aca="false">Census_MieGoreng!AE72</f>
        <v>261.84556129604</v>
      </c>
      <c r="J10" s="42" t="n">
        <f aca="false">IF(Pilih_Metode!$D$6="TES",H10,I10)</f>
        <v>266.118193723522</v>
      </c>
    </row>
    <row r="11" customFormat="false" ht="15" hidden="false" customHeight="false" outlineLevel="0" collapsed="false">
      <c r="A11" s="39" t="n">
        <f aca="false">TES_NasiGoreng!B73</f>
        <v>46204</v>
      </c>
      <c r="B11" s="8" t="n">
        <f aca="false">DAY(EOMONTH(A11,0))</f>
        <v>31</v>
      </c>
      <c r="C11" s="8" t="n">
        <f aca="false">MAX(0,MIN($B$4,EOMONTH(A11,0))-MAX($B$3,A11)+1)</f>
        <v>0</v>
      </c>
      <c r="D11" s="40" t="n">
        <f aca="false">C11/B11</f>
        <v>0</v>
      </c>
      <c r="E11" s="41" t="n">
        <f aca="false">TES_NasiGoreng!G73</f>
        <v>386.040200194303</v>
      </c>
      <c r="F11" s="41" t="n">
        <f aca="false">Census_NasiGoreng!AE73</f>
        <v>368.143481690516</v>
      </c>
      <c r="G11" s="42" t="n">
        <f aca="false">IF(Pilih_Metode!$D$5="TES",E11,F11)</f>
        <v>386.040200194303</v>
      </c>
      <c r="H11" s="41" t="n">
        <f aca="false">TES_MieGoreng!G73</f>
        <v>306.862046278175</v>
      </c>
      <c r="I11" s="41" t="n">
        <f aca="false">Census_MieGoreng!AE73</f>
        <v>293.768045215211</v>
      </c>
      <c r="J11" s="42" t="n">
        <f aca="false">IF(Pilih_Metode!$D$6="TES",H11,I11)</f>
        <v>306.862046278175</v>
      </c>
    </row>
    <row r="12" customFormat="false" ht="15" hidden="false" customHeight="false" outlineLevel="0" collapsed="false">
      <c r="A12" s="39" t="n">
        <f aca="false">TES_NasiGoreng!B74</f>
        <v>46235</v>
      </c>
      <c r="B12" s="8" t="n">
        <f aca="false">DAY(EOMONTH(A12,0))</f>
        <v>31</v>
      </c>
      <c r="C12" s="8" t="n">
        <f aca="false">MAX(0,MIN($B$4,EOMONTH(A12,0))-MAX($B$3,A12)+1)</f>
        <v>0</v>
      </c>
      <c r="D12" s="40" t="n">
        <f aca="false">C12/B12</f>
        <v>0</v>
      </c>
      <c r="E12" s="41" t="n">
        <f aca="false">TES_NasiGoreng!G74</f>
        <v>331.633780766682</v>
      </c>
      <c r="F12" s="41" t="n">
        <f aca="false">Census_NasiGoreng!AE74</f>
        <v>323.161630061067</v>
      </c>
      <c r="G12" s="42" t="n">
        <f aca="false">IF(Pilih_Metode!$D$5="TES",E12,F12)</f>
        <v>331.633780766682</v>
      </c>
      <c r="H12" s="41" t="n">
        <f aca="false">TES_MieGoreng!G74</f>
        <v>276.44913886421</v>
      </c>
      <c r="I12" s="41" t="n">
        <f aca="false">Census_MieGoreng!AE74</f>
        <v>257.73709352654</v>
      </c>
      <c r="J12" s="42" t="n">
        <f aca="false">IF(Pilih_Metode!$D$6="TES",H12,I12)</f>
        <v>276.44913886421</v>
      </c>
    </row>
    <row r="13" customFormat="false" ht="15" hidden="false" customHeight="false" outlineLevel="0" collapsed="false">
      <c r="A13" s="39" t="n">
        <f aca="false">TES_NasiGoreng!B75</f>
        <v>46266</v>
      </c>
      <c r="B13" s="8" t="n">
        <f aca="false">DAY(EOMONTH(A13,0))</f>
        <v>30</v>
      </c>
      <c r="C13" s="8" t="n">
        <f aca="false">MAX(0,MIN($B$4,EOMONTH(A13,0))-MAX($B$3,A13)+1)</f>
        <v>0</v>
      </c>
      <c r="D13" s="40" t="n">
        <f aca="false">C13/B13</f>
        <v>0</v>
      </c>
      <c r="E13" s="41" t="n">
        <f aca="false">TES_NasiGoreng!G75</f>
        <v>324.53001267204</v>
      </c>
      <c r="F13" s="41" t="n">
        <f aca="false">Census_NasiGoreng!AE75</f>
        <v>327.769570804958</v>
      </c>
      <c r="G13" s="42" t="n">
        <f aca="false">IF(Pilih_Metode!$D$5="TES",E13,F13)</f>
        <v>324.53001267204</v>
      </c>
      <c r="H13" s="41" t="n">
        <f aca="false">TES_MieGoreng!G75</f>
        <v>299.474866399803</v>
      </c>
      <c r="I13" s="41" t="n">
        <f aca="false">Census_MieGoreng!AE75</f>
        <v>268.418064171143</v>
      </c>
      <c r="J13" s="42" t="n">
        <f aca="false">IF(Pilih_Metode!$D$6="TES",H13,I13)</f>
        <v>299.474866399803</v>
      </c>
    </row>
    <row r="14" customFormat="false" ht="15" hidden="false" customHeight="false" outlineLevel="0" collapsed="false">
      <c r="A14" s="39" t="n">
        <f aca="false">TES_NasiGoreng!B76</f>
        <v>46296</v>
      </c>
      <c r="B14" s="8" t="n">
        <f aca="false">DAY(EOMONTH(A14,0))</f>
        <v>31</v>
      </c>
      <c r="C14" s="8" t="n">
        <f aca="false">MAX(0,MIN($B$4,EOMONTH(A14,0))-MAX($B$3,A14)+1)</f>
        <v>0</v>
      </c>
      <c r="D14" s="40" t="n">
        <f aca="false">C14/B14</f>
        <v>0</v>
      </c>
      <c r="E14" s="41" t="n">
        <f aca="false">TES_NasiGoreng!G76</f>
        <v>303.794817163454</v>
      </c>
      <c r="F14" s="41" t="n">
        <f aca="false">Census_NasiGoreng!AE76</f>
        <v>308.137758621986</v>
      </c>
      <c r="G14" s="42" t="n">
        <f aca="false">IF(Pilih_Metode!$D$5="TES",E14,F14)</f>
        <v>303.794817163454</v>
      </c>
      <c r="H14" s="41" t="n">
        <f aca="false">TES_MieGoreng!G76</f>
        <v>294.548467250176</v>
      </c>
      <c r="I14" s="41" t="n">
        <f aca="false">Census_MieGoreng!AE76</f>
        <v>265.534900210761</v>
      </c>
      <c r="J14" s="42" t="n">
        <f aca="false">IF(Pilih_Metode!$D$6="TES",H14,I14)</f>
        <v>294.548467250176</v>
      </c>
    </row>
    <row r="15" customFormat="false" ht="15" hidden="false" customHeight="false" outlineLevel="0" collapsed="false">
      <c r="A15" s="39" t="n">
        <f aca="false">TES_NasiGoreng!B77</f>
        <v>46327</v>
      </c>
      <c r="B15" s="8" t="n">
        <f aca="false">DAY(EOMONTH(A15,0))</f>
        <v>30</v>
      </c>
      <c r="C15" s="8" t="n">
        <f aca="false">MAX(0,MIN($B$4,EOMONTH(A15,0))-MAX($B$3,A15)+1)</f>
        <v>0</v>
      </c>
      <c r="D15" s="40" t="n">
        <f aca="false">C15/B15</f>
        <v>0</v>
      </c>
      <c r="E15" s="41" t="n">
        <f aca="false">TES_NasiGoreng!G77</f>
        <v>324.537174604298</v>
      </c>
      <c r="F15" s="41" t="n">
        <f aca="false">Census_NasiGoreng!AE77</f>
        <v>321.366163431126</v>
      </c>
      <c r="G15" s="42" t="n">
        <f aca="false">IF(Pilih_Metode!$D$5="TES",E15,F15)</f>
        <v>324.537174604298</v>
      </c>
      <c r="H15" s="41" t="n">
        <f aca="false">TES_MieGoreng!G77</f>
        <v>292.665063780273</v>
      </c>
      <c r="I15" s="41" t="n">
        <f aca="false">Census_MieGoreng!AE77</f>
        <v>271.709799057679</v>
      </c>
      <c r="J15" s="42" t="n">
        <f aca="false">IF(Pilih_Metode!$D$6="TES",H15,I15)</f>
        <v>292.665063780273</v>
      </c>
    </row>
    <row r="16" customFormat="false" ht="15" hidden="false" customHeight="false" outlineLevel="0" collapsed="false">
      <c r="A16" s="39" t="n">
        <f aca="false">TES_NasiGoreng!B78</f>
        <v>46357</v>
      </c>
      <c r="B16" s="8" t="n">
        <f aca="false">DAY(EOMONTH(A16,0))</f>
        <v>31</v>
      </c>
      <c r="C16" s="8" t="n">
        <f aca="false">MAX(0,MIN($B$4,EOMONTH(A16,0))-MAX($B$3,A16)+1)</f>
        <v>0</v>
      </c>
      <c r="D16" s="40" t="n">
        <f aca="false">C16/B16</f>
        <v>0</v>
      </c>
      <c r="E16" s="41" t="n">
        <f aca="false">TES_NasiGoreng!G78</f>
        <v>383.206755147117</v>
      </c>
      <c r="F16" s="41" t="n">
        <f aca="false">Census_NasiGoreng!AE78</f>
        <v>384.186380075992</v>
      </c>
      <c r="G16" s="42" t="n">
        <f aca="false">IF(Pilih_Metode!$D$5="TES",E16,F16)</f>
        <v>383.206755147117</v>
      </c>
      <c r="H16" s="41" t="n">
        <f aca="false">TES_MieGoreng!G78</f>
        <v>374.655701121553</v>
      </c>
      <c r="I16" s="41" t="n">
        <f aca="false">Census_MieGoreng!AE78</f>
        <v>335.391050764081</v>
      </c>
      <c r="J16" s="42" t="n">
        <f aca="false">IF(Pilih_Metode!$D$6="TES",H16,I16)</f>
        <v>374.655701121553</v>
      </c>
    </row>
    <row r="17" customFormat="false" ht="15" hidden="false" customHeight="false" outlineLevel="0" collapsed="false">
      <c r="A17" s="39" t="n">
        <f aca="false">TES_NasiGoreng!B79</f>
        <v>46388</v>
      </c>
      <c r="B17" s="8" t="n">
        <f aca="false">DAY(EOMONTH(A17,0))</f>
        <v>31</v>
      </c>
      <c r="C17" s="8" t="n">
        <f aca="false">MAX(0,MIN($B$4,EOMONTH(A17,0))-MAX($B$3,A17)+1)</f>
        <v>0</v>
      </c>
      <c r="D17" s="40" t="n">
        <f aca="false">C17/B17</f>
        <v>0</v>
      </c>
      <c r="E17" s="41" t="n">
        <f aca="false">TES_NasiGoreng!G79</f>
        <v>367.829173339981</v>
      </c>
      <c r="F17" s="41" t="n">
        <f aca="false">Census_NasiGoreng!AE79</f>
        <v>387.30463960369</v>
      </c>
      <c r="G17" s="42" t="n">
        <f aca="false">IF(Pilih_Metode!$D$5="TES",E17,F17)</f>
        <v>367.829173339981</v>
      </c>
      <c r="H17" s="41" t="n">
        <f aca="false">TES_MieGoreng!G79</f>
        <v>298.010986967273</v>
      </c>
      <c r="I17" s="41" t="n">
        <f aca="false">Census_MieGoreng!AE79</f>
        <v>313.87893282667</v>
      </c>
      <c r="J17" s="42" t="n">
        <f aca="false">IF(Pilih_Metode!$D$6="TES",H17,I17)</f>
        <v>298.010986967273</v>
      </c>
    </row>
    <row r="18" customFormat="false" ht="15" hidden="false" customHeight="false" outlineLevel="0" collapsed="false">
      <c r="A18" s="39" t="n">
        <f aca="false">TES_NasiGoreng!B80</f>
        <v>46419</v>
      </c>
      <c r="B18" s="8" t="n">
        <f aca="false">DAY(EOMONTH(A18,0))</f>
        <v>28</v>
      </c>
      <c r="C18" s="8" t="n">
        <f aca="false">MAX(0,MIN($B$4,EOMONTH(A18,0))-MAX($B$3,A18)+1)</f>
        <v>0</v>
      </c>
      <c r="D18" s="40" t="n">
        <f aca="false">C18/B18</f>
        <v>0</v>
      </c>
      <c r="E18" s="41" t="n">
        <f aca="false">TES_NasiGoreng!G80</f>
        <v>348.996426629236</v>
      </c>
      <c r="F18" s="41" t="n">
        <f aca="false">Census_NasiGoreng!AE80</f>
        <v>329.930292960506</v>
      </c>
      <c r="G18" s="42" t="n">
        <f aca="false">IF(Pilih_Metode!$D$5="TES",E18,F18)</f>
        <v>348.996426629236</v>
      </c>
      <c r="H18" s="41" t="n">
        <f aca="false">TES_MieGoreng!G80</f>
        <v>319.732158624649</v>
      </c>
      <c r="I18" s="41" t="n">
        <f aca="false">Census_MieGoreng!AE80</f>
        <v>282.741302218082</v>
      </c>
      <c r="J18" s="42" t="n">
        <f aca="false">IF(Pilih_Metode!$D$6="TES",H18,I18)</f>
        <v>319.732158624649</v>
      </c>
    </row>
    <row r="19" customFormat="false" ht="15" hidden="false" customHeight="false" outlineLevel="0" collapsed="false">
      <c r="A19" s="39" t="n">
        <f aca="false">TES_NasiGoreng!B81</f>
        <v>46447</v>
      </c>
      <c r="B19" s="8" t="n">
        <f aca="false">DAY(EOMONTH(A19,0))</f>
        <v>31</v>
      </c>
      <c r="C19" s="8" t="n">
        <f aca="false">MAX(0,MIN($B$4,EOMONTH(A19,0))-MAX($B$3,A19)+1)</f>
        <v>0</v>
      </c>
      <c r="D19" s="40" t="n">
        <f aca="false">C19/B19</f>
        <v>0</v>
      </c>
      <c r="E19" s="41" t="n">
        <f aca="false">TES_NasiGoreng!G81</f>
        <v>429.562572110302</v>
      </c>
      <c r="F19" s="41" t="n">
        <f aca="false">Census_NasiGoreng!AE81</f>
        <v>428.688006709147</v>
      </c>
      <c r="G19" s="42" t="n">
        <f aca="false">IF(Pilih_Metode!$D$5="TES",E19,F19)</f>
        <v>429.562572110302</v>
      </c>
      <c r="H19" s="41" t="n">
        <f aca="false">TES_MieGoreng!G81</f>
        <v>377.808675347352</v>
      </c>
      <c r="I19" s="41" t="n">
        <f aca="false">Census_MieGoreng!AE81</f>
        <v>347.284469360842</v>
      </c>
      <c r="J19" s="42" t="n">
        <f aca="false">IF(Pilih_Metode!$D$6="TES",H19,I19)</f>
        <v>377.808675347352</v>
      </c>
    </row>
    <row r="20" customFormat="false" ht="15" hidden="false" customHeight="false" outlineLevel="0" collapsed="false">
      <c r="A20" s="39" t="n">
        <f aca="false">TES_NasiGoreng!B82</f>
        <v>46478</v>
      </c>
      <c r="B20" s="8" t="n">
        <f aca="false">DAY(EOMONTH(A20,0))</f>
        <v>30</v>
      </c>
      <c r="C20" s="8" t="n">
        <f aca="false">MAX(0,MIN($B$4,EOMONTH(A20,0))-MAX($B$3,A20)+1)</f>
        <v>0</v>
      </c>
      <c r="D20" s="40" t="n">
        <f aca="false">C20/B20</f>
        <v>0</v>
      </c>
      <c r="E20" s="41" t="n">
        <f aca="false">TES_NasiGoreng!G82</f>
        <v>350.152854944333</v>
      </c>
      <c r="F20" s="41" t="n">
        <f aca="false">Census_NasiGoreng!AE82</f>
        <v>397.917668588602</v>
      </c>
      <c r="G20" s="42" t="n">
        <f aca="false">IF(Pilih_Metode!$D$5="TES",E20,F20)</f>
        <v>350.152854944333</v>
      </c>
      <c r="H20" s="41" t="n">
        <f aca="false">TES_MieGoreng!G82</f>
        <v>285.36885794226</v>
      </c>
      <c r="I20" s="41" t="n">
        <f aca="false">Census_MieGoreng!AE82</f>
        <v>324.823283097867</v>
      </c>
      <c r="J20" s="42" t="n">
        <f aca="false">IF(Pilih_Metode!$D$6="TES",H20,I20)</f>
        <v>285.36885794226</v>
      </c>
    </row>
    <row r="21" customFormat="false" ht="15" hidden="false" customHeight="false" outlineLevel="0" collapsed="false">
      <c r="A21" s="39" t="n">
        <f aca="false">TES_NasiGoreng!B83</f>
        <v>46508</v>
      </c>
      <c r="B21" s="8" t="n">
        <f aca="false">DAY(EOMONTH(A21,0))</f>
        <v>31</v>
      </c>
      <c r="C21" s="8" t="n">
        <f aca="false">MAX(0,MIN($B$4,EOMONTH(A21,0))-MAX($B$3,A21)+1)</f>
        <v>0</v>
      </c>
      <c r="D21" s="40" t="n">
        <f aca="false">C21/B21</f>
        <v>0</v>
      </c>
      <c r="E21" s="41" t="n">
        <f aca="false">TES_NasiGoreng!G83</f>
        <v>311.782445658985</v>
      </c>
      <c r="F21" s="41" t="n">
        <f aca="false">Census_NasiGoreng!AE83</f>
        <v>323.02312067404</v>
      </c>
      <c r="G21" s="42" t="n">
        <f aca="false">IF(Pilih_Metode!$D$5="TES",E21,F21)</f>
        <v>311.782445658985</v>
      </c>
      <c r="H21" s="41" t="n">
        <f aca="false">TES_MieGoreng!G83</f>
        <v>305.836158118705</v>
      </c>
      <c r="I21" s="41" t="n">
        <f aca="false">Census_MieGoreng!AE83</f>
        <v>276.038630325411</v>
      </c>
      <c r="J21" s="42" t="n">
        <f aca="false">IF(Pilih_Metode!$D$6="TES",H21,I21)</f>
        <v>305.836158118705</v>
      </c>
    </row>
    <row r="22" customFormat="false" ht="15" hidden="false" customHeight="false" outlineLevel="0" collapsed="false">
      <c r="A22" s="11" t="s">
        <v>143</v>
      </c>
      <c r="E22" s="43" t="n">
        <f aca="false">SUMPRODUCT($D$10:$D$21,E10:E21)</f>
        <v>341.124996587028</v>
      </c>
      <c r="F22" s="43" t="n">
        <f aca="false">SUMPRODUCT($D$10:$D$21,F10:F21)</f>
        <v>325.971811889794</v>
      </c>
      <c r="G22" s="43" t="n">
        <f aca="false">SUMPRODUCT($D$10:$D$21,G10:G21)</f>
        <v>341.124996587028</v>
      </c>
      <c r="H22" s="43" t="n">
        <f aca="false">SUMPRODUCT($D$10:$D$21,H10:H21)</f>
        <v>266.118193723522</v>
      </c>
      <c r="I22" s="43" t="n">
        <f aca="false">SUMPRODUCT($D$10:$D$21,I10:I21)</f>
        <v>261.84556129604</v>
      </c>
      <c r="J22" s="43" t="n">
        <f aca="false">SUMPRODUCT($D$10:$D$21,J10:J21)</f>
        <v>266.118193723522</v>
      </c>
    </row>
    <row r="23" customFormat="false" ht="15" hidden="false" customHeight="false" outlineLevel="0" collapsed="false">
      <c r="A23" s="6" t="s">
        <v>144</v>
      </c>
    </row>
  </sheetData>
  <mergeCells count="2">
    <mergeCell ref="E8:G8"/>
    <mergeCell ref="H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5" min="3" style="0" width="22"/>
  </cols>
  <sheetData>
    <row r="1" customFormat="false" ht="16.15" hidden="false" customHeight="false" outlineLevel="0" collapsed="false">
      <c r="A1" s="5" t="s">
        <v>145</v>
      </c>
    </row>
    <row r="2" customFormat="false" ht="15" hidden="false" customHeight="false" outlineLevel="0" collapsed="false">
      <c r="A2" s="44" t="s">
        <v>146</v>
      </c>
    </row>
    <row r="4" customFormat="false" ht="15" hidden="false" customHeight="false" outlineLevel="0" collapsed="false">
      <c r="B4" s="11" t="s">
        <v>147</v>
      </c>
      <c r="C4" s="45" t="n">
        <f aca="false">Prediksi_Periode!G22</f>
        <v>341.124996587028</v>
      </c>
      <c r="D4" s="45" t="n">
        <f aca="false">Prediksi_Periode!J22</f>
        <v>266.118193723522</v>
      </c>
    </row>
    <row r="5" customFormat="false" ht="45" hidden="false" customHeight="true" outlineLevel="0" collapsed="false">
      <c r="A5" s="7" t="s">
        <v>148</v>
      </c>
      <c r="B5" s="7" t="s">
        <v>149</v>
      </c>
      <c r="C5" s="7" t="s">
        <v>150</v>
      </c>
      <c r="D5" s="7" t="s">
        <v>151</v>
      </c>
      <c r="E5" s="7" t="s">
        <v>152</v>
      </c>
    </row>
    <row r="6" customFormat="false" ht="15" hidden="false" customHeight="false" outlineLevel="0" collapsed="false">
      <c r="A6" s="46" t="s">
        <v>153</v>
      </c>
      <c r="B6" s="47" t="s">
        <v>154</v>
      </c>
      <c r="C6" s="48" t="n">
        <v>200</v>
      </c>
      <c r="D6" s="48" t="n">
        <v>0</v>
      </c>
      <c r="E6" s="43" t="n">
        <f aca="false">SUMPRODUCT(C6:D6,$C$4:$D$4)</f>
        <v>68224.9993174056</v>
      </c>
    </row>
    <row r="7" customFormat="false" ht="15" hidden="false" customHeight="false" outlineLevel="0" collapsed="false">
      <c r="A7" s="46" t="s">
        <v>155</v>
      </c>
      <c r="B7" s="47" t="s">
        <v>154</v>
      </c>
      <c r="C7" s="48" t="n">
        <v>0</v>
      </c>
      <c r="D7" s="48" t="n">
        <v>150</v>
      </c>
      <c r="E7" s="43" t="n">
        <f aca="false">SUMPRODUCT(C7:D7,$C$4:$D$4)</f>
        <v>39917.7290585282</v>
      </c>
    </row>
    <row r="8" customFormat="false" ht="15" hidden="false" customHeight="false" outlineLevel="0" collapsed="false">
      <c r="A8" s="46" t="s">
        <v>156</v>
      </c>
      <c r="B8" s="47" t="s">
        <v>157</v>
      </c>
      <c r="C8" s="48" t="n">
        <v>1</v>
      </c>
      <c r="D8" s="48" t="n">
        <v>2</v>
      </c>
      <c r="E8" s="43" t="n">
        <f aca="false">SUMPRODUCT(C8:D8,$C$4:$D$4)</f>
        <v>873.361384034071</v>
      </c>
    </row>
    <row r="9" customFormat="false" ht="15" hidden="false" customHeight="false" outlineLevel="0" collapsed="false">
      <c r="A9" s="46" t="s">
        <v>158</v>
      </c>
      <c r="B9" s="47" t="s">
        <v>159</v>
      </c>
      <c r="C9" s="48" t="n">
        <v>10</v>
      </c>
      <c r="D9" s="48" t="n">
        <v>15</v>
      </c>
      <c r="E9" s="43" t="n">
        <f aca="false">SUMPRODUCT(C9:D9,$C$4:$D$4)</f>
        <v>7403.0228717231</v>
      </c>
    </row>
    <row r="10" customFormat="false" ht="15" hidden="false" customHeight="false" outlineLevel="0" collapsed="false">
      <c r="A10" s="46" t="s">
        <v>160</v>
      </c>
      <c r="B10" s="47" t="s">
        <v>154</v>
      </c>
      <c r="C10" s="48" t="n">
        <v>30</v>
      </c>
      <c r="D10" s="48" t="n">
        <v>30</v>
      </c>
      <c r="E10" s="43" t="n">
        <f aca="false">SUMPRODUCT(C10:D10,$C$4:$D$4)</f>
        <v>18217.2957093165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16.15" hidden="false" customHeight="false" outlineLevel="0" collapsed="false">
      <c r="A1" s="5" t="s">
        <v>161</v>
      </c>
    </row>
    <row r="2" customFormat="false" ht="15" hidden="false" customHeight="false" outlineLevel="0" collapsed="false">
      <c r="A2" s="6" t="s">
        <v>162</v>
      </c>
    </row>
    <row r="4" customFormat="false" ht="23.85" hidden="false" customHeight="false" outlineLevel="0" collapsed="false">
      <c r="A4" s="7" t="s">
        <v>22</v>
      </c>
      <c r="B4" s="7" t="s">
        <v>163</v>
      </c>
      <c r="C4" s="7" t="str">
        <f aca="false">Kebutuhan_Bahan!A6&amp;" / bulan"</f>
        <v>Beras / bulan</v>
      </c>
      <c r="D4" s="7" t="str">
        <f aca="false">Kebutuhan_Bahan!A7&amp;" / bulan"</f>
        <v>Mie basah / bulan</v>
      </c>
      <c r="E4" s="7" t="str">
        <f aca="false">Kebutuhan_Bahan!A8&amp;" / bulan"</f>
        <v>Telur / bulan</v>
      </c>
      <c r="F4" s="7" t="str">
        <f aca="false">Kebutuhan_Bahan!A9&amp;" / bulan"</f>
        <v>Minyak goreng / bulan</v>
      </c>
      <c r="G4" s="7" t="str">
        <f aca="false">Kebutuhan_Bahan!A10&amp;" / bulan"</f>
        <v>Ayam suwir / bulan</v>
      </c>
      <c r="H4" s="7" t="str">
        <f aca="false">Kebutuhan_Bahan!A6&amp;" / hari"</f>
        <v>Beras / hari</v>
      </c>
      <c r="I4" s="7" t="str">
        <f aca="false">Kebutuhan_Bahan!A7&amp;" / hari"</f>
        <v>Mie basah / hari</v>
      </c>
      <c r="J4" s="7" t="str">
        <f aca="false">Kebutuhan_Bahan!A8&amp;" / hari"</f>
        <v>Telur / hari</v>
      </c>
      <c r="K4" s="7" t="str">
        <f aca="false">Kebutuhan_Bahan!A9&amp;" / hari"</f>
        <v>Minyak goreng / hari</v>
      </c>
      <c r="L4" s="7" t="str">
        <f aca="false">Kebutuhan_Bahan!A10&amp;" / hari"</f>
        <v>Ayam suwir / hari</v>
      </c>
    </row>
    <row r="5" customFormat="false" ht="15" hidden="false" customHeight="false" outlineLevel="0" collapsed="false">
      <c r="A5" s="22" t="n">
        <f aca="false">Data!B5</f>
        <v>44348</v>
      </c>
      <c r="B5" s="49" t="n">
        <f aca="false">Data!C5</f>
        <v>30</v>
      </c>
      <c r="C5" s="50" t="n">
        <f aca="false">SUMPRODUCT(Kebutuhan_Bahan!$C$6:$D$6,Data!$D5:$E5)</f>
        <v>46000</v>
      </c>
      <c r="D5" s="50" t="n">
        <f aca="false">SUMPRODUCT(Kebutuhan_Bahan!$C$7:$D$7,Data!$D5:$E5)</f>
        <v>33150</v>
      </c>
      <c r="E5" s="50" t="n">
        <f aca="false">SUMPRODUCT(Kebutuhan_Bahan!$C$8:$D$8,Data!$D5:$E5)</f>
        <v>672</v>
      </c>
      <c r="F5" s="50" t="n">
        <f aca="false">SUMPRODUCT(Kebutuhan_Bahan!$C$9:$D$9,Data!$D5:$E5)</f>
        <v>5615</v>
      </c>
      <c r="G5" s="50" t="n">
        <f aca="false">SUMPRODUCT(Kebutuhan_Bahan!$C$10:$D$10,Data!$D5:$E5)</f>
        <v>13530</v>
      </c>
      <c r="H5" s="51" t="n">
        <f aca="false">C5/$B5</f>
        <v>1533.33333333333</v>
      </c>
      <c r="I5" s="51" t="n">
        <f aca="false">D5/$B5</f>
        <v>1105</v>
      </c>
      <c r="J5" s="51" t="n">
        <f aca="false">E5/$B5</f>
        <v>22.4</v>
      </c>
      <c r="K5" s="51" t="n">
        <f aca="false">F5/$B5</f>
        <v>187.166666666667</v>
      </c>
      <c r="L5" s="51" t="n">
        <f aca="false">G5/$B5</f>
        <v>451</v>
      </c>
    </row>
    <row r="6" customFormat="false" ht="15" hidden="false" customHeight="false" outlineLevel="0" collapsed="false">
      <c r="A6" s="22" t="n">
        <f aca="false">Data!B6</f>
        <v>44378</v>
      </c>
      <c r="B6" s="49" t="n">
        <f aca="false">Data!C6</f>
        <v>31</v>
      </c>
      <c r="C6" s="50" t="n">
        <f aca="false">SUMPRODUCT(Kebutuhan_Bahan!$C$6:$D$6,Data!$D6:$E6)</f>
        <v>53600</v>
      </c>
      <c r="D6" s="50" t="n">
        <f aca="false">SUMPRODUCT(Kebutuhan_Bahan!$C$7:$D$7,Data!$D6:$E6)</f>
        <v>35700</v>
      </c>
      <c r="E6" s="50" t="n">
        <f aca="false">SUMPRODUCT(Kebutuhan_Bahan!$C$8:$D$8,Data!$D6:$E6)</f>
        <v>744</v>
      </c>
      <c r="F6" s="50" t="n">
        <f aca="false">SUMPRODUCT(Kebutuhan_Bahan!$C$9:$D$9,Data!$D6:$E6)</f>
        <v>6250</v>
      </c>
      <c r="G6" s="50" t="n">
        <f aca="false">SUMPRODUCT(Kebutuhan_Bahan!$C$10:$D$10,Data!$D6:$E6)</f>
        <v>15180</v>
      </c>
      <c r="H6" s="51" t="n">
        <f aca="false">C6/$B6</f>
        <v>1729.03225806452</v>
      </c>
      <c r="I6" s="51" t="n">
        <f aca="false">D6/$B6</f>
        <v>1151.61290322581</v>
      </c>
      <c r="J6" s="51" t="n">
        <f aca="false">E6/$B6</f>
        <v>24</v>
      </c>
      <c r="K6" s="51" t="n">
        <f aca="false">F6/$B6</f>
        <v>201.612903225806</v>
      </c>
      <c r="L6" s="51" t="n">
        <f aca="false">G6/$B6</f>
        <v>489.677419354839</v>
      </c>
    </row>
    <row r="7" customFormat="false" ht="15" hidden="false" customHeight="false" outlineLevel="0" collapsed="false">
      <c r="A7" s="22" t="n">
        <f aca="false">Data!B7</f>
        <v>44409</v>
      </c>
      <c r="B7" s="49" t="n">
        <f aca="false">Data!C7</f>
        <v>31</v>
      </c>
      <c r="C7" s="50" t="n">
        <f aca="false">SUMPRODUCT(Kebutuhan_Bahan!$C$6:$D$6,Data!$D7:$E7)</f>
        <v>44000</v>
      </c>
      <c r="D7" s="50" t="n">
        <f aca="false">SUMPRODUCT(Kebutuhan_Bahan!$C$7:$D$7,Data!$D7:$E7)</f>
        <v>33300</v>
      </c>
      <c r="E7" s="50" t="n">
        <f aca="false">SUMPRODUCT(Kebutuhan_Bahan!$C$8:$D$8,Data!$D7:$E7)</f>
        <v>664</v>
      </c>
      <c r="F7" s="50" t="n">
        <f aca="false">SUMPRODUCT(Kebutuhan_Bahan!$C$9:$D$9,Data!$D7:$E7)</f>
        <v>5530</v>
      </c>
      <c r="G7" s="50" t="n">
        <f aca="false">SUMPRODUCT(Kebutuhan_Bahan!$C$10:$D$10,Data!$D7:$E7)</f>
        <v>13260</v>
      </c>
      <c r="H7" s="51" t="n">
        <f aca="false">C7/$B7</f>
        <v>1419.35483870968</v>
      </c>
      <c r="I7" s="51" t="n">
        <f aca="false">D7/$B7</f>
        <v>1074.1935483871</v>
      </c>
      <c r="J7" s="51" t="n">
        <f aca="false">E7/$B7</f>
        <v>21.4193548387097</v>
      </c>
      <c r="K7" s="51" t="n">
        <f aca="false">F7/$B7</f>
        <v>178.387096774194</v>
      </c>
      <c r="L7" s="51" t="n">
        <f aca="false">G7/$B7</f>
        <v>427.741935483871</v>
      </c>
    </row>
    <row r="8" customFormat="false" ht="15" hidden="false" customHeight="false" outlineLevel="0" collapsed="false">
      <c r="A8" s="22" t="n">
        <f aca="false">Data!B8</f>
        <v>44440</v>
      </c>
      <c r="B8" s="49" t="n">
        <f aca="false">Data!C8</f>
        <v>30</v>
      </c>
      <c r="C8" s="50" t="n">
        <f aca="false">SUMPRODUCT(Kebutuhan_Bahan!$C$6:$D$6,Data!$D8:$E8)</f>
        <v>52000</v>
      </c>
      <c r="D8" s="50" t="n">
        <f aca="false">SUMPRODUCT(Kebutuhan_Bahan!$C$7:$D$7,Data!$D8:$E8)</f>
        <v>30600</v>
      </c>
      <c r="E8" s="50" t="n">
        <f aca="false">SUMPRODUCT(Kebutuhan_Bahan!$C$8:$D$8,Data!$D8:$E8)</f>
        <v>668</v>
      </c>
      <c r="F8" s="50" t="n">
        <f aca="false">SUMPRODUCT(Kebutuhan_Bahan!$C$9:$D$9,Data!$D8:$E8)</f>
        <v>5660</v>
      </c>
      <c r="G8" s="50" t="n">
        <f aca="false">SUMPRODUCT(Kebutuhan_Bahan!$C$10:$D$10,Data!$D8:$E8)</f>
        <v>13920</v>
      </c>
      <c r="H8" s="51" t="n">
        <f aca="false">C8/$B8</f>
        <v>1733.33333333333</v>
      </c>
      <c r="I8" s="51" t="n">
        <f aca="false">D8/$B8</f>
        <v>1020</v>
      </c>
      <c r="J8" s="51" t="n">
        <f aca="false">E8/$B8</f>
        <v>22.2666666666667</v>
      </c>
      <c r="K8" s="51" t="n">
        <f aca="false">F8/$B8</f>
        <v>188.666666666667</v>
      </c>
      <c r="L8" s="51" t="n">
        <f aca="false">G8/$B8</f>
        <v>464</v>
      </c>
    </row>
    <row r="9" customFormat="false" ht="15" hidden="false" customHeight="false" outlineLevel="0" collapsed="false">
      <c r="A9" s="22" t="n">
        <f aca="false">Data!B9</f>
        <v>44470</v>
      </c>
      <c r="B9" s="49" t="n">
        <f aca="false">Data!C9</f>
        <v>31</v>
      </c>
      <c r="C9" s="50" t="n">
        <f aca="false">SUMPRODUCT(Kebutuhan_Bahan!$C$6:$D$6,Data!$D9:$E9)</f>
        <v>50400</v>
      </c>
      <c r="D9" s="50" t="n">
        <f aca="false">SUMPRODUCT(Kebutuhan_Bahan!$C$7:$D$7,Data!$D9:$E9)</f>
        <v>33150</v>
      </c>
      <c r="E9" s="50" t="n">
        <f aca="false">SUMPRODUCT(Kebutuhan_Bahan!$C$8:$D$8,Data!$D9:$E9)</f>
        <v>694</v>
      </c>
      <c r="F9" s="50" t="n">
        <f aca="false">SUMPRODUCT(Kebutuhan_Bahan!$C$9:$D$9,Data!$D9:$E9)</f>
        <v>5835</v>
      </c>
      <c r="G9" s="50" t="n">
        <f aca="false">SUMPRODUCT(Kebutuhan_Bahan!$C$10:$D$10,Data!$D9:$E9)</f>
        <v>14190</v>
      </c>
      <c r="H9" s="51" t="n">
        <f aca="false">C9/$B9</f>
        <v>1625.8064516129</v>
      </c>
      <c r="I9" s="51" t="n">
        <f aca="false">D9/$B9</f>
        <v>1069.35483870968</v>
      </c>
      <c r="J9" s="51" t="n">
        <f aca="false">E9/$B9</f>
        <v>22.3870967741935</v>
      </c>
      <c r="K9" s="51" t="n">
        <f aca="false">F9/$B9</f>
        <v>188.225806451613</v>
      </c>
      <c r="L9" s="51" t="n">
        <f aca="false">G9/$B9</f>
        <v>457.741935483871</v>
      </c>
    </row>
    <row r="10" customFormat="false" ht="15" hidden="false" customHeight="false" outlineLevel="0" collapsed="false">
      <c r="A10" s="22" t="n">
        <f aca="false">Data!B10</f>
        <v>44501</v>
      </c>
      <c r="B10" s="49" t="n">
        <f aca="false">Data!C10</f>
        <v>30</v>
      </c>
      <c r="C10" s="50" t="n">
        <f aca="false">SUMPRODUCT(Kebutuhan_Bahan!$C$6:$D$6,Data!$D10:$E10)</f>
        <v>48200</v>
      </c>
      <c r="D10" s="50" t="n">
        <f aca="false">SUMPRODUCT(Kebutuhan_Bahan!$C$7:$D$7,Data!$D10:$E10)</f>
        <v>33750</v>
      </c>
      <c r="E10" s="50" t="n">
        <f aca="false">SUMPRODUCT(Kebutuhan_Bahan!$C$8:$D$8,Data!$D10:$E10)</f>
        <v>691</v>
      </c>
      <c r="F10" s="50" t="n">
        <f aca="false">SUMPRODUCT(Kebutuhan_Bahan!$C$9:$D$9,Data!$D10:$E10)</f>
        <v>5785</v>
      </c>
      <c r="G10" s="50" t="n">
        <f aca="false">SUMPRODUCT(Kebutuhan_Bahan!$C$10:$D$10,Data!$D10:$E10)</f>
        <v>13980</v>
      </c>
      <c r="H10" s="51" t="n">
        <f aca="false">C10/$B10</f>
        <v>1606.66666666667</v>
      </c>
      <c r="I10" s="51" t="n">
        <f aca="false">D10/$B10</f>
        <v>1125</v>
      </c>
      <c r="J10" s="51" t="n">
        <f aca="false">E10/$B10</f>
        <v>23.0333333333333</v>
      </c>
      <c r="K10" s="51" t="n">
        <f aca="false">F10/$B10</f>
        <v>192.833333333333</v>
      </c>
      <c r="L10" s="51" t="n">
        <f aca="false">G10/$B10</f>
        <v>466</v>
      </c>
    </row>
    <row r="11" customFormat="false" ht="15" hidden="false" customHeight="false" outlineLevel="0" collapsed="false">
      <c r="A11" s="22" t="n">
        <f aca="false">Data!B11</f>
        <v>44531</v>
      </c>
      <c r="B11" s="49" t="n">
        <f aca="false">Data!C11</f>
        <v>31</v>
      </c>
      <c r="C11" s="50" t="n">
        <f aca="false">SUMPRODUCT(Kebutuhan_Bahan!$C$6:$D$6,Data!$D11:$E11)</f>
        <v>60400</v>
      </c>
      <c r="D11" s="50" t="n">
        <f aca="false">SUMPRODUCT(Kebutuhan_Bahan!$C$7:$D$7,Data!$D11:$E11)</f>
        <v>41700</v>
      </c>
      <c r="E11" s="50" t="n">
        <f aca="false">SUMPRODUCT(Kebutuhan_Bahan!$C$8:$D$8,Data!$D11:$E11)</f>
        <v>858</v>
      </c>
      <c r="F11" s="50" t="n">
        <f aca="false">SUMPRODUCT(Kebutuhan_Bahan!$C$9:$D$9,Data!$D11:$E11)</f>
        <v>7190</v>
      </c>
      <c r="G11" s="50" t="n">
        <f aca="false">SUMPRODUCT(Kebutuhan_Bahan!$C$10:$D$10,Data!$D11:$E11)</f>
        <v>17400</v>
      </c>
      <c r="H11" s="51" t="n">
        <f aca="false">C11/$B11</f>
        <v>1948.38709677419</v>
      </c>
      <c r="I11" s="51" t="n">
        <f aca="false">D11/$B11</f>
        <v>1345.16129032258</v>
      </c>
      <c r="J11" s="51" t="n">
        <f aca="false">E11/$B11</f>
        <v>27.6774193548387</v>
      </c>
      <c r="K11" s="51" t="n">
        <f aca="false">F11/$B11</f>
        <v>231.935483870968</v>
      </c>
      <c r="L11" s="51" t="n">
        <f aca="false">G11/$B11</f>
        <v>561.290322580645</v>
      </c>
    </row>
    <row r="12" customFormat="false" ht="15" hidden="false" customHeight="false" outlineLevel="0" collapsed="false">
      <c r="A12" s="22" t="n">
        <f aca="false">Data!B12</f>
        <v>44562</v>
      </c>
      <c r="B12" s="49" t="n">
        <f aca="false">Data!C12</f>
        <v>31</v>
      </c>
      <c r="C12" s="50" t="n">
        <f aca="false">SUMPRODUCT(Kebutuhan_Bahan!$C$6:$D$6,Data!$D12:$E12)</f>
        <v>57600</v>
      </c>
      <c r="D12" s="50" t="n">
        <f aca="false">SUMPRODUCT(Kebutuhan_Bahan!$C$7:$D$7,Data!$D12:$E12)</f>
        <v>36750</v>
      </c>
      <c r="E12" s="50" t="n">
        <f aca="false">SUMPRODUCT(Kebutuhan_Bahan!$C$8:$D$8,Data!$D12:$E12)</f>
        <v>778</v>
      </c>
      <c r="F12" s="50" t="n">
        <f aca="false">SUMPRODUCT(Kebutuhan_Bahan!$C$9:$D$9,Data!$D12:$E12)</f>
        <v>6555</v>
      </c>
      <c r="G12" s="50" t="n">
        <f aca="false">SUMPRODUCT(Kebutuhan_Bahan!$C$10:$D$10,Data!$D12:$E12)</f>
        <v>15990</v>
      </c>
      <c r="H12" s="51" t="n">
        <f aca="false">C12/$B12</f>
        <v>1858.06451612903</v>
      </c>
      <c r="I12" s="51" t="n">
        <f aca="false">D12/$B12</f>
        <v>1185.48387096774</v>
      </c>
      <c r="J12" s="51" t="n">
        <f aca="false">E12/$B12</f>
        <v>25.0967741935484</v>
      </c>
      <c r="K12" s="51" t="n">
        <f aca="false">F12/$B12</f>
        <v>211.451612903226</v>
      </c>
      <c r="L12" s="51" t="n">
        <f aca="false">G12/$B12</f>
        <v>515.806451612903</v>
      </c>
    </row>
    <row r="13" customFormat="false" ht="15" hidden="false" customHeight="false" outlineLevel="0" collapsed="false">
      <c r="A13" s="22" t="n">
        <f aca="false">Data!B13</f>
        <v>44593</v>
      </c>
      <c r="B13" s="49" t="n">
        <f aca="false">Data!C13</f>
        <v>28</v>
      </c>
      <c r="C13" s="50" t="n">
        <f aca="false">SUMPRODUCT(Kebutuhan_Bahan!$C$6:$D$6,Data!$D13:$E13)</f>
        <v>48800</v>
      </c>
      <c r="D13" s="50" t="n">
        <f aca="false">SUMPRODUCT(Kebutuhan_Bahan!$C$7:$D$7,Data!$D13:$E13)</f>
        <v>26850</v>
      </c>
      <c r="E13" s="50" t="n">
        <f aca="false">SUMPRODUCT(Kebutuhan_Bahan!$C$8:$D$8,Data!$D13:$E13)</f>
        <v>602</v>
      </c>
      <c r="F13" s="50" t="n">
        <f aca="false">SUMPRODUCT(Kebutuhan_Bahan!$C$9:$D$9,Data!$D13:$E13)</f>
        <v>5125</v>
      </c>
      <c r="G13" s="50" t="n">
        <f aca="false">SUMPRODUCT(Kebutuhan_Bahan!$C$10:$D$10,Data!$D13:$E13)</f>
        <v>12690</v>
      </c>
      <c r="H13" s="51" t="n">
        <f aca="false">C13/$B13</f>
        <v>1742.85714285714</v>
      </c>
      <c r="I13" s="51" t="n">
        <f aca="false">D13/$B13</f>
        <v>958.928571428571</v>
      </c>
      <c r="J13" s="51" t="n">
        <f aca="false">E13/$B13</f>
        <v>21.5</v>
      </c>
      <c r="K13" s="51" t="n">
        <f aca="false">F13/$B13</f>
        <v>183.035714285714</v>
      </c>
      <c r="L13" s="51" t="n">
        <f aca="false">G13/$B13</f>
        <v>453.214285714286</v>
      </c>
    </row>
    <row r="14" customFormat="false" ht="15" hidden="false" customHeight="false" outlineLevel="0" collapsed="false">
      <c r="A14" s="22" t="n">
        <f aca="false">Data!B14</f>
        <v>44621</v>
      </c>
      <c r="B14" s="49" t="n">
        <f aca="false">Data!C14</f>
        <v>31</v>
      </c>
      <c r="C14" s="50" t="n">
        <f aca="false">SUMPRODUCT(Kebutuhan_Bahan!$C$6:$D$6,Data!$D14:$E14)</f>
        <v>49200</v>
      </c>
      <c r="D14" s="50" t="n">
        <f aca="false">SUMPRODUCT(Kebutuhan_Bahan!$C$7:$D$7,Data!$D14:$E14)</f>
        <v>33450</v>
      </c>
      <c r="E14" s="50" t="n">
        <f aca="false">SUMPRODUCT(Kebutuhan_Bahan!$C$8:$D$8,Data!$D14:$E14)</f>
        <v>692</v>
      </c>
      <c r="F14" s="50" t="n">
        <f aca="false">SUMPRODUCT(Kebutuhan_Bahan!$C$9:$D$9,Data!$D14:$E14)</f>
        <v>5805</v>
      </c>
      <c r="G14" s="50" t="n">
        <f aca="false">SUMPRODUCT(Kebutuhan_Bahan!$C$10:$D$10,Data!$D14:$E14)</f>
        <v>14070</v>
      </c>
      <c r="H14" s="51" t="n">
        <f aca="false">C14/$B14</f>
        <v>1587.09677419355</v>
      </c>
      <c r="I14" s="51" t="n">
        <f aca="false">D14/$B14</f>
        <v>1079.03225806452</v>
      </c>
      <c r="J14" s="51" t="n">
        <f aca="false">E14/$B14</f>
        <v>22.3225806451613</v>
      </c>
      <c r="K14" s="51" t="n">
        <f aca="false">F14/$B14</f>
        <v>187.258064516129</v>
      </c>
      <c r="L14" s="51" t="n">
        <f aca="false">G14/$B14</f>
        <v>453.870967741936</v>
      </c>
    </row>
    <row r="15" customFormat="false" ht="15" hidden="false" customHeight="false" outlineLevel="0" collapsed="false">
      <c r="A15" s="22" t="n">
        <f aca="false">Data!B15</f>
        <v>44652</v>
      </c>
      <c r="B15" s="49" t="n">
        <f aca="false">Data!C15</f>
        <v>30</v>
      </c>
      <c r="C15" s="50" t="n">
        <f aca="false">SUMPRODUCT(Kebutuhan_Bahan!$C$6:$D$6,Data!$D15:$E15)</f>
        <v>69200</v>
      </c>
      <c r="D15" s="50" t="n">
        <f aca="false">SUMPRODUCT(Kebutuhan_Bahan!$C$7:$D$7,Data!$D15:$E15)</f>
        <v>43950</v>
      </c>
      <c r="E15" s="50" t="n">
        <f aca="false">SUMPRODUCT(Kebutuhan_Bahan!$C$8:$D$8,Data!$D15:$E15)</f>
        <v>932</v>
      </c>
      <c r="F15" s="50" t="n">
        <f aca="false">SUMPRODUCT(Kebutuhan_Bahan!$C$9:$D$9,Data!$D15:$E15)</f>
        <v>7855</v>
      </c>
      <c r="G15" s="50" t="n">
        <f aca="false">SUMPRODUCT(Kebutuhan_Bahan!$C$10:$D$10,Data!$D15:$E15)</f>
        <v>19170</v>
      </c>
      <c r="H15" s="51" t="n">
        <f aca="false">C15/$B15</f>
        <v>2306.66666666667</v>
      </c>
      <c r="I15" s="51" t="n">
        <f aca="false">D15/$B15</f>
        <v>1465</v>
      </c>
      <c r="J15" s="51" t="n">
        <f aca="false">E15/$B15</f>
        <v>31.0666666666667</v>
      </c>
      <c r="K15" s="51" t="n">
        <f aca="false">F15/$B15</f>
        <v>261.833333333333</v>
      </c>
      <c r="L15" s="51" t="n">
        <f aca="false">G15/$B15</f>
        <v>639</v>
      </c>
    </row>
    <row r="16" customFormat="false" ht="15" hidden="false" customHeight="false" outlineLevel="0" collapsed="false">
      <c r="A16" s="22" t="n">
        <f aca="false">Data!B16</f>
        <v>44682</v>
      </c>
      <c r="B16" s="49" t="n">
        <f aca="false">Data!C16</f>
        <v>31</v>
      </c>
      <c r="C16" s="50" t="n">
        <f aca="false">SUMPRODUCT(Kebutuhan_Bahan!$C$6:$D$6,Data!$D16:$E16)</f>
        <v>57800</v>
      </c>
      <c r="D16" s="50" t="n">
        <f aca="false">SUMPRODUCT(Kebutuhan_Bahan!$C$7:$D$7,Data!$D16:$E16)</f>
        <v>36150</v>
      </c>
      <c r="E16" s="50" t="n">
        <f aca="false">SUMPRODUCT(Kebutuhan_Bahan!$C$8:$D$8,Data!$D16:$E16)</f>
        <v>771</v>
      </c>
      <c r="F16" s="50" t="n">
        <f aca="false">SUMPRODUCT(Kebutuhan_Bahan!$C$9:$D$9,Data!$D16:$E16)</f>
        <v>6505</v>
      </c>
      <c r="G16" s="50" t="n">
        <f aca="false">SUMPRODUCT(Kebutuhan_Bahan!$C$10:$D$10,Data!$D16:$E16)</f>
        <v>15900</v>
      </c>
      <c r="H16" s="51" t="n">
        <f aca="false">C16/$B16</f>
        <v>1864.51612903226</v>
      </c>
      <c r="I16" s="51" t="n">
        <f aca="false">D16/$B16</f>
        <v>1166.12903225806</v>
      </c>
      <c r="J16" s="51" t="n">
        <f aca="false">E16/$B16</f>
        <v>24.8709677419355</v>
      </c>
      <c r="K16" s="51" t="n">
        <f aca="false">F16/$B16</f>
        <v>209.838709677419</v>
      </c>
      <c r="L16" s="51" t="n">
        <f aca="false">G16/$B16</f>
        <v>512.903225806452</v>
      </c>
    </row>
    <row r="17" customFormat="false" ht="15" hidden="false" customHeight="false" outlineLevel="0" collapsed="false">
      <c r="A17" s="22" t="n">
        <f aca="false">Data!B17</f>
        <v>44713</v>
      </c>
      <c r="B17" s="49" t="n">
        <f aca="false">Data!C17</f>
        <v>30</v>
      </c>
      <c r="C17" s="50" t="n">
        <f aca="false">SUMPRODUCT(Kebutuhan_Bahan!$C$6:$D$6,Data!$D17:$E17)</f>
        <v>50200</v>
      </c>
      <c r="D17" s="50" t="n">
        <f aca="false">SUMPRODUCT(Kebutuhan_Bahan!$C$7:$D$7,Data!$D17:$E17)</f>
        <v>34200</v>
      </c>
      <c r="E17" s="50" t="n">
        <f aca="false">SUMPRODUCT(Kebutuhan_Bahan!$C$8:$D$8,Data!$D17:$E17)</f>
        <v>707</v>
      </c>
      <c r="F17" s="50" t="n">
        <f aca="false">SUMPRODUCT(Kebutuhan_Bahan!$C$9:$D$9,Data!$D17:$E17)</f>
        <v>5930</v>
      </c>
      <c r="G17" s="50" t="n">
        <f aca="false">SUMPRODUCT(Kebutuhan_Bahan!$C$10:$D$10,Data!$D17:$E17)</f>
        <v>14370</v>
      </c>
      <c r="H17" s="51" t="n">
        <f aca="false">C17/$B17</f>
        <v>1673.33333333333</v>
      </c>
      <c r="I17" s="51" t="n">
        <f aca="false">D17/$B17</f>
        <v>1140</v>
      </c>
      <c r="J17" s="51" t="n">
        <f aca="false">E17/$B17</f>
        <v>23.5666666666667</v>
      </c>
      <c r="K17" s="51" t="n">
        <f aca="false">F17/$B17</f>
        <v>197.666666666667</v>
      </c>
      <c r="L17" s="51" t="n">
        <f aca="false">G17/$B17</f>
        <v>479</v>
      </c>
    </row>
    <row r="18" customFormat="false" ht="15" hidden="false" customHeight="false" outlineLevel="0" collapsed="false">
      <c r="A18" s="22" t="n">
        <f aca="false">Data!B18</f>
        <v>44743</v>
      </c>
      <c r="B18" s="49" t="n">
        <f aca="false">Data!C18</f>
        <v>31</v>
      </c>
      <c r="C18" s="50" t="n">
        <f aca="false">SUMPRODUCT(Kebutuhan_Bahan!$C$6:$D$6,Data!$D18:$E18)</f>
        <v>55400</v>
      </c>
      <c r="D18" s="50" t="n">
        <f aca="false">SUMPRODUCT(Kebutuhan_Bahan!$C$7:$D$7,Data!$D18:$E18)</f>
        <v>36750</v>
      </c>
      <c r="E18" s="50" t="n">
        <f aca="false">SUMPRODUCT(Kebutuhan_Bahan!$C$8:$D$8,Data!$D18:$E18)</f>
        <v>767</v>
      </c>
      <c r="F18" s="50" t="n">
        <f aca="false">SUMPRODUCT(Kebutuhan_Bahan!$C$9:$D$9,Data!$D18:$E18)</f>
        <v>6445</v>
      </c>
      <c r="G18" s="50" t="n">
        <f aca="false">SUMPRODUCT(Kebutuhan_Bahan!$C$10:$D$10,Data!$D18:$E18)</f>
        <v>15660</v>
      </c>
      <c r="H18" s="51" t="n">
        <f aca="false">C18/$B18</f>
        <v>1787.09677419355</v>
      </c>
      <c r="I18" s="51" t="n">
        <f aca="false">D18/$B18</f>
        <v>1185.48387096774</v>
      </c>
      <c r="J18" s="51" t="n">
        <f aca="false">E18/$B18</f>
        <v>24.741935483871</v>
      </c>
      <c r="K18" s="51" t="n">
        <f aca="false">F18/$B18</f>
        <v>207.903225806452</v>
      </c>
      <c r="L18" s="51" t="n">
        <f aca="false">G18/$B18</f>
        <v>505.161290322581</v>
      </c>
    </row>
    <row r="19" customFormat="false" ht="15" hidden="false" customHeight="false" outlineLevel="0" collapsed="false">
      <c r="A19" s="22" t="n">
        <f aca="false">Data!B19</f>
        <v>44774</v>
      </c>
      <c r="B19" s="49" t="n">
        <f aca="false">Data!C19</f>
        <v>31</v>
      </c>
      <c r="C19" s="50" t="n">
        <f aca="false">SUMPRODUCT(Kebutuhan_Bahan!$C$6:$D$6,Data!$D19:$E19)</f>
        <v>51200</v>
      </c>
      <c r="D19" s="50" t="n">
        <f aca="false">SUMPRODUCT(Kebutuhan_Bahan!$C$7:$D$7,Data!$D19:$E19)</f>
        <v>33450</v>
      </c>
      <c r="E19" s="50" t="n">
        <f aca="false">SUMPRODUCT(Kebutuhan_Bahan!$C$8:$D$8,Data!$D19:$E19)</f>
        <v>702</v>
      </c>
      <c r="F19" s="50" t="n">
        <f aca="false">SUMPRODUCT(Kebutuhan_Bahan!$C$9:$D$9,Data!$D19:$E19)</f>
        <v>5905</v>
      </c>
      <c r="G19" s="50" t="n">
        <f aca="false">SUMPRODUCT(Kebutuhan_Bahan!$C$10:$D$10,Data!$D19:$E19)</f>
        <v>14370</v>
      </c>
      <c r="H19" s="51" t="n">
        <f aca="false">C19/$B19</f>
        <v>1651.61290322581</v>
      </c>
      <c r="I19" s="51" t="n">
        <f aca="false">D19/$B19</f>
        <v>1079.03225806452</v>
      </c>
      <c r="J19" s="51" t="n">
        <f aca="false">E19/$B19</f>
        <v>22.6451612903226</v>
      </c>
      <c r="K19" s="51" t="n">
        <f aca="false">F19/$B19</f>
        <v>190.483870967742</v>
      </c>
      <c r="L19" s="51" t="n">
        <f aca="false">G19/$B19</f>
        <v>463.548387096774</v>
      </c>
    </row>
    <row r="20" customFormat="false" ht="15" hidden="false" customHeight="false" outlineLevel="0" collapsed="false">
      <c r="A20" s="22" t="n">
        <f aca="false">Data!B20</f>
        <v>44805</v>
      </c>
      <c r="B20" s="49" t="n">
        <f aca="false">Data!C20</f>
        <v>30</v>
      </c>
      <c r="C20" s="50" t="n">
        <f aca="false">SUMPRODUCT(Kebutuhan_Bahan!$C$6:$D$6,Data!$D20:$E20)</f>
        <v>49400</v>
      </c>
      <c r="D20" s="50" t="n">
        <f aca="false">SUMPRODUCT(Kebutuhan_Bahan!$C$7:$D$7,Data!$D20:$E20)</f>
        <v>30900</v>
      </c>
      <c r="E20" s="50" t="n">
        <f aca="false">SUMPRODUCT(Kebutuhan_Bahan!$C$8:$D$8,Data!$D20:$E20)</f>
        <v>659</v>
      </c>
      <c r="F20" s="50" t="n">
        <f aca="false">SUMPRODUCT(Kebutuhan_Bahan!$C$9:$D$9,Data!$D20:$E20)</f>
        <v>5560</v>
      </c>
      <c r="G20" s="50" t="n">
        <f aca="false">SUMPRODUCT(Kebutuhan_Bahan!$C$10:$D$10,Data!$D20:$E20)</f>
        <v>13590</v>
      </c>
      <c r="H20" s="51" t="n">
        <f aca="false">C20/$B20</f>
        <v>1646.66666666667</v>
      </c>
      <c r="I20" s="51" t="n">
        <f aca="false">D20/$B20</f>
        <v>1030</v>
      </c>
      <c r="J20" s="51" t="n">
        <f aca="false">E20/$B20</f>
        <v>21.9666666666667</v>
      </c>
      <c r="K20" s="51" t="n">
        <f aca="false">F20/$B20</f>
        <v>185.333333333333</v>
      </c>
      <c r="L20" s="51" t="n">
        <f aca="false">G20/$B20</f>
        <v>453</v>
      </c>
    </row>
    <row r="21" customFormat="false" ht="15" hidden="false" customHeight="false" outlineLevel="0" collapsed="false">
      <c r="A21" s="22" t="n">
        <f aca="false">Data!B21</f>
        <v>44835</v>
      </c>
      <c r="B21" s="49" t="n">
        <f aca="false">Data!C21</f>
        <v>31</v>
      </c>
      <c r="C21" s="50" t="n">
        <f aca="false">SUMPRODUCT(Kebutuhan_Bahan!$C$6:$D$6,Data!$D21:$E21)</f>
        <v>50000</v>
      </c>
      <c r="D21" s="50" t="n">
        <f aca="false">SUMPRODUCT(Kebutuhan_Bahan!$C$7:$D$7,Data!$D21:$E21)</f>
        <v>31050</v>
      </c>
      <c r="E21" s="50" t="n">
        <f aca="false">SUMPRODUCT(Kebutuhan_Bahan!$C$8:$D$8,Data!$D21:$E21)</f>
        <v>664</v>
      </c>
      <c r="F21" s="50" t="n">
        <f aca="false">SUMPRODUCT(Kebutuhan_Bahan!$C$9:$D$9,Data!$D21:$E21)</f>
        <v>5605</v>
      </c>
      <c r="G21" s="50" t="n">
        <f aca="false">SUMPRODUCT(Kebutuhan_Bahan!$C$10:$D$10,Data!$D21:$E21)</f>
        <v>13710</v>
      </c>
      <c r="H21" s="51" t="n">
        <f aca="false">C21/$B21</f>
        <v>1612.90322580645</v>
      </c>
      <c r="I21" s="51" t="n">
        <f aca="false">D21/$B21</f>
        <v>1001.61290322581</v>
      </c>
      <c r="J21" s="51" t="n">
        <f aca="false">E21/$B21</f>
        <v>21.4193548387097</v>
      </c>
      <c r="K21" s="51" t="n">
        <f aca="false">F21/$B21</f>
        <v>180.806451612903</v>
      </c>
      <c r="L21" s="51" t="n">
        <f aca="false">G21/$B21</f>
        <v>442.258064516129</v>
      </c>
    </row>
    <row r="22" customFormat="false" ht="15" hidden="false" customHeight="false" outlineLevel="0" collapsed="false">
      <c r="A22" s="22" t="n">
        <f aca="false">Data!B22</f>
        <v>44866</v>
      </c>
      <c r="B22" s="49" t="n">
        <f aca="false">Data!C22</f>
        <v>30</v>
      </c>
      <c r="C22" s="50" t="n">
        <f aca="false">SUMPRODUCT(Kebutuhan_Bahan!$C$6:$D$6,Data!$D22:$E22)</f>
        <v>52800</v>
      </c>
      <c r="D22" s="50" t="n">
        <f aca="false">SUMPRODUCT(Kebutuhan_Bahan!$C$7:$D$7,Data!$D22:$E22)</f>
        <v>34200</v>
      </c>
      <c r="E22" s="50" t="n">
        <f aca="false">SUMPRODUCT(Kebutuhan_Bahan!$C$8:$D$8,Data!$D22:$E22)</f>
        <v>720</v>
      </c>
      <c r="F22" s="50" t="n">
        <f aca="false">SUMPRODUCT(Kebutuhan_Bahan!$C$9:$D$9,Data!$D22:$E22)</f>
        <v>6060</v>
      </c>
      <c r="G22" s="50" t="n">
        <f aca="false">SUMPRODUCT(Kebutuhan_Bahan!$C$10:$D$10,Data!$D22:$E22)</f>
        <v>14760</v>
      </c>
      <c r="H22" s="51" t="n">
        <f aca="false">C22/$B22</f>
        <v>1760</v>
      </c>
      <c r="I22" s="51" t="n">
        <f aca="false">D22/$B22</f>
        <v>1140</v>
      </c>
      <c r="J22" s="51" t="n">
        <f aca="false">E22/$B22</f>
        <v>24</v>
      </c>
      <c r="K22" s="51" t="n">
        <f aca="false">F22/$B22</f>
        <v>202</v>
      </c>
      <c r="L22" s="51" t="n">
        <f aca="false">G22/$B22</f>
        <v>492</v>
      </c>
    </row>
    <row r="23" customFormat="false" ht="15" hidden="false" customHeight="false" outlineLevel="0" collapsed="false">
      <c r="A23" s="22" t="n">
        <f aca="false">Data!B23</f>
        <v>44896</v>
      </c>
      <c r="B23" s="49" t="n">
        <f aca="false">Data!C23</f>
        <v>31</v>
      </c>
      <c r="C23" s="50" t="n">
        <f aca="false">SUMPRODUCT(Kebutuhan_Bahan!$C$6:$D$6,Data!$D23:$E23)</f>
        <v>64000</v>
      </c>
      <c r="D23" s="50" t="n">
        <f aca="false">SUMPRODUCT(Kebutuhan_Bahan!$C$7:$D$7,Data!$D23:$E23)</f>
        <v>42300</v>
      </c>
      <c r="E23" s="50" t="n">
        <f aca="false">SUMPRODUCT(Kebutuhan_Bahan!$C$8:$D$8,Data!$D23:$E23)</f>
        <v>884</v>
      </c>
      <c r="F23" s="50" t="n">
        <f aca="false">SUMPRODUCT(Kebutuhan_Bahan!$C$9:$D$9,Data!$D23:$E23)</f>
        <v>7430</v>
      </c>
      <c r="G23" s="50" t="n">
        <f aca="false">SUMPRODUCT(Kebutuhan_Bahan!$C$10:$D$10,Data!$D23:$E23)</f>
        <v>18060</v>
      </c>
      <c r="H23" s="51" t="n">
        <f aca="false">C23/$B23</f>
        <v>2064.51612903226</v>
      </c>
      <c r="I23" s="51" t="n">
        <f aca="false">D23/$B23</f>
        <v>1364.51612903226</v>
      </c>
      <c r="J23" s="51" t="n">
        <f aca="false">E23/$B23</f>
        <v>28.5161290322581</v>
      </c>
      <c r="K23" s="51" t="n">
        <f aca="false">F23/$B23</f>
        <v>239.677419354839</v>
      </c>
      <c r="L23" s="51" t="n">
        <f aca="false">G23/$B23</f>
        <v>582.58064516129</v>
      </c>
    </row>
    <row r="24" customFormat="false" ht="15" hidden="false" customHeight="false" outlineLevel="0" collapsed="false">
      <c r="A24" s="22" t="n">
        <f aca="false">Data!B24</f>
        <v>44927</v>
      </c>
      <c r="B24" s="49" t="n">
        <f aca="false">Data!C24</f>
        <v>31</v>
      </c>
      <c r="C24" s="50" t="n">
        <f aca="false">SUMPRODUCT(Kebutuhan_Bahan!$C$6:$D$6,Data!$D24:$E24)</f>
        <v>55600</v>
      </c>
      <c r="D24" s="50" t="n">
        <f aca="false">SUMPRODUCT(Kebutuhan_Bahan!$C$7:$D$7,Data!$D24:$E24)</f>
        <v>39150</v>
      </c>
      <c r="E24" s="50" t="n">
        <f aca="false">SUMPRODUCT(Kebutuhan_Bahan!$C$8:$D$8,Data!$D24:$E24)</f>
        <v>800</v>
      </c>
      <c r="F24" s="50" t="n">
        <f aca="false">SUMPRODUCT(Kebutuhan_Bahan!$C$9:$D$9,Data!$D24:$E24)</f>
        <v>6695</v>
      </c>
      <c r="G24" s="50" t="n">
        <f aca="false">SUMPRODUCT(Kebutuhan_Bahan!$C$10:$D$10,Data!$D24:$E24)</f>
        <v>16170</v>
      </c>
      <c r="H24" s="51" t="n">
        <f aca="false">C24/$B24</f>
        <v>1793.54838709677</v>
      </c>
      <c r="I24" s="51" t="n">
        <f aca="false">D24/$B24</f>
        <v>1262.90322580645</v>
      </c>
      <c r="J24" s="51" t="n">
        <f aca="false">E24/$B24</f>
        <v>25.8064516129032</v>
      </c>
      <c r="K24" s="51" t="n">
        <f aca="false">F24/$B24</f>
        <v>215.967741935484</v>
      </c>
      <c r="L24" s="51" t="n">
        <f aca="false">G24/$B24</f>
        <v>521.612903225807</v>
      </c>
    </row>
    <row r="25" customFormat="false" ht="15" hidden="false" customHeight="false" outlineLevel="0" collapsed="false">
      <c r="A25" s="22" t="n">
        <f aca="false">Data!B25</f>
        <v>44958</v>
      </c>
      <c r="B25" s="49" t="n">
        <f aca="false">Data!C25</f>
        <v>28</v>
      </c>
      <c r="C25" s="50" t="n">
        <f aca="false">SUMPRODUCT(Kebutuhan_Bahan!$C$6:$D$6,Data!$D25:$E25)</f>
        <v>50800</v>
      </c>
      <c r="D25" s="50" t="n">
        <f aca="false">SUMPRODUCT(Kebutuhan_Bahan!$C$7:$D$7,Data!$D25:$E25)</f>
        <v>34200</v>
      </c>
      <c r="E25" s="50" t="n">
        <f aca="false">SUMPRODUCT(Kebutuhan_Bahan!$C$8:$D$8,Data!$D25:$E25)</f>
        <v>710</v>
      </c>
      <c r="F25" s="50" t="n">
        <f aca="false">SUMPRODUCT(Kebutuhan_Bahan!$C$9:$D$9,Data!$D25:$E25)</f>
        <v>5960</v>
      </c>
      <c r="G25" s="50" t="n">
        <f aca="false">SUMPRODUCT(Kebutuhan_Bahan!$C$10:$D$10,Data!$D25:$E25)</f>
        <v>14460</v>
      </c>
      <c r="H25" s="51" t="n">
        <f aca="false">C25/$B25</f>
        <v>1814.28571428571</v>
      </c>
      <c r="I25" s="51" t="n">
        <f aca="false">D25/$B25</f>
        <v>1221.42857142857</v>
      </c>
      <c r="J25" s="51" t="n">
        <f aca="false">E25/$B25</f>
        <v>25.3571428571429</v>
      </c>
      <c r="K25" s="51" t="n">
        <f aca="false">F25/$B25</f>
        <v>212.857142857143</v>
      </c>
      <c r="L25" s="51" t="n">
        <f aca="false">G25/$B25</f>
        <v>516.428571428571</v>
      </c>
    </row>
    <row r="26" customFormat="false" ht="15" hidden="false" customHeight="false" outlineLevel="0" collapsed="false">
      <c r="A26" s="22" t="n">
        <f aca="false">Data!B26</f>
        <v>44986</v>
      </c>
      <c r="B26" s="49" t="n">
        <f aca="false">Data!C26</f>
        <v>31</v>
      </c>
      <c r="C26" s="50" t="n">
        <f aca="false">SUMPRODUCT(Kebutuhan_Bahan!$C$6:$D$6,Data!$D26:$E26)</f>
        <v>59400</v>
      </c>
      <c r="D26" s="50" t="n">
        <f aca="false">SUMPRODUCT(Kebutuhan_Bahan!$C$7:$D$7,Data!$D26:$E26)</f>
        <v>38400</v>
      </c>
      <c r="E26" s="50" t="n">
        <f aca="false">SUMPRODUCT(Kebutuhan_Bahan!$C$8:$D$8,Data!$D26:$E26)</f>
        <v>809</v>
      </c>
      <c r="F26" s="50" t="n">
        <f aca="false">SUMPRODUCT(Kebutuhan_Bahan!$C$9:$D$9,Data!$D26:$E26)</f>
        <v>6810</v>
      </c>
      <c r="G26" s="50" t="n">
        <f aca="false">SUMPRODUCT(Kebutuhan_Bahan!$C$10:$D$10,Data!$D26:$E26)</f>
        <v>16590</v>
      </c>
      <c r="H26" s="51" t="n">
        <f aca="false">C26/$B26</f>
        <v>1916.12903225806</v>
      </c>
      <c r="I26" s="51" t="n">
        <f aca="false">D26/$B26</f>
        <v>1238.70967741935</v>
      </c>
      <c r="J26" s="51" t="n">
        <f aca="false">E26/$B26</f>
        <v>26.0967741935484</v>
      </c>
      <c r="K26" s="51" t="n">
        <f aca="false">F26/$B26</f>
        <v>219.677419354839</v>
      </c>
      <c r="L26" s="51" t="n">
        <f aca="false">G26/$B26</f>
        <v>535.161290322581</v>
      </c>
    </row>
    <row r="27" customFormat="false" ht="15" hidden="false" customHeight="false" outlineLevel="0" collapsed="false">
      <c r="A27" s="22" t="n">
        <f aca="false">Data!B27</f>
        <v>45017</v>
      </c>
      <c r="B27" s="49" t="n">
        <f aca="false">Data!C27</f>
        <v>30</v>
      </c>
      <c r="C27" s="50" t="n">
        <f aca="false">SUMPRODUCT(Kebutuhan_Bahan!$C$6:$D$6,Data!$D27:$E27)</f>
        <v>70400</v>
      </c>
      <c r="D27" s="50" t="n">
        <f aca="false">SUMPRODUCT(Kebutuhan_Bahan!$C$7:$D$7,Data!$D27:$E27)</f>
        <v>46650</v>
      </c>
      <c r="E27" s="50" t="n">
        <f aca="false">SUMPRODUCT(Kebutuhan_Bahan!$C$8:$D$8,Data!$D27:$E27)</f>
        <v>974</v>
      </c>
      <c r="F27" s="50" t="n">
        <f aca="false">SUMPRODUCT(Kebutuhan_Bahan!$C$9:$D$9,Data!$D27:$E27)</f>
        <v>8185</v>
      </c>
      <c r="G27" s="50" t="n">
        <f aca="false">SUMPRODUCT(Kebutuhan_Bahan!$C$10:$D$10,Data!$D27:$E27)</f>
        <v>19890</v>
      </c>
      <c r="H27" s="51" t="n">
        <f aca="false">C27/$B27</f>
        <v>2346.66666666667</v>
      </c>
      <c r="I27" s="51" t="n">
        <f aca="false">D27/$B27</f>
        <v>1555</v>
      </c>
      <c r="J27" s="51" t="n">
        <f aca="false">E27/$B27</f>
        <v>32.4666666666667</v>
      </c>
      <c r="K27" s="51" t="n">
        <f aca="false">F27/$B27</f>
        <v>272.833333333333</v>
      </c>
      <c r="L27" s="51" t="n">
        <f aca="false">G27/$B27</f>
        <v>663</v>
      </c>
    </row>
    <row r="28" customFormat="false" ht="15" hidden="false" customHeight="false" outlineLevel="0" collapsed="false">
      <c r="A28" s="22" t="n">
        <f aca="false">Data!B28</f>
        <v>45047</v>
      </c>
      <c r="B28" s="49" t="n">
        <f aca="false">Data!C28</f>
        <v>31</v>
      </c>
      <c r="C28" s="50" t="n">
        <f aca="false">SUMPRODUCT(Kebutuhan_Bahan!$C$6:$D$6,Data!$D28:$E28)</f>
        <v>52200</v>
      </c>
      <c r="D28" s="50" t="n">
        <f aca="false">SUMPRODUCT(Kebutuhan_Bahan!$C$7:$D$7,Data!$D28:$E28)</f>
        <v>34650</v>
      </c>
      <c r="E28" s="50" t="n">
        <f aca="false">SUMPRODUCT(Kebutuhan_Bahan!$C$8:$D$8,Data!$D28:$E28)</f>
        <v>723</v>
      </c>
      <c r="F28" s="50" t="n">
        <f aca="false">SUMPRODUCT(Kebutuhan_Bahan!$C$9:$D$9,Data!$D28:$E28)</f>
        <v>6075</v>
      </c>
      <c r="G28" s="50" t="n">
        <f aca="false">SUMPRODUCT(Kebutuhan_Bahan!$C$10:$D$10,Data!$D28:$E28)</f>
        <v>14760</v>
      </c>
      <c r="H28" s="51" t="n">
        <f aca="false">C28/$B28</f>
        <v>1683.87096774194</v>
      </c>
      <c r="I28" s="51" t="n">
        <f aca="false">D28/$B28</f>
        <v>1117.74193548387</v>
      </c>
      <c r="J28" s="51" t="n">
        <f aca="false">E28/$B28</f>
        <v>23.3225806451613</v>
      </c>
      <c r="K28" s="51" t="n">
        <f aca="false">F28/$B28</f>
        <v>195.967741935484</v>
      </c>
      <c r="L28" s="51" t="n">
        <f aca="false">G28/$B28</f>
        <v>476.129032258065</v>
      </c>
    </row>
    <row r="29" customFormat="false" ht="15" hidden="false" customHeight="false" outlineLevel="0" collapsed="false">
      <c r="A29" s="22" t="n">
        <f aca="false">Data!B29</f>
        <v>45078</v>
      </c>
      <c r="B29" s="49" t="n">
        <f aca="false">Data!C29</f>
        <v>30</v>
      </c>
      <c r="C29" s="50" t="n">
        <f aca="false">SUMPRODUCT(Kebutuhan_Bahan!$C$6:$D$6,Data!$D29:$E29)</f>
        <v>54400</v>
      </c>
      <c r="D29" s="50" t="n">
        <f aca="false">SUMPRODUCT(Kebutuhan_Bahan!$C$7:$D$7,Data!$D29:$E29)</f>
        <v>34950</v>
      </c>
      <c r="E29" s="50" t="n">
        <f aca="false">SUMPRODUCT(Kebutuhan_Bahan!$C$8:$D$8,Data!$D29:$E29)</f>
        <v>738</v>
      </c>
      <c r="F29" s="50" t="n">
        <f aca="false">SUMPRODUCT(Kebutuhan_Bahan!$C$9:$D$9,Data!$D29:$E29)</f>
        <v>6215</v>
      </c>
      <c r="G29" s="50" t="n">
        <f aca="false">SUMPRODUCT(Kebutuhan_Bahan!$C$10:$D$10,Data!$D29:$E29)</f>
        <v>15150</v>
      </c>
      <c r="H29" s="51" t="n">
        <f aca="false">C29/$B29</f>
        <v>1813.33333333333</v>
      </c>
      <c r="I29" s="51" t="n">
        <f aca="false">D29/$B29</f>
        <v>1165</v>
      </c>
      <c r="J29" s="51" t="n">
        <f aca="false">E29/$B29</f>
        <v>24.6</v>
      </c>
      <c r="K29" s="51" t="n">
        <f aca="false">F29/$B29</f>
        <v>207.166666666667</v>
      </c>
      <c r="L29" s="51" t="n">
        <f aca="false">G29/$B29</f>
        <v>505</v>
      </c>
    </row>
    <row r="30" customFormat="false" ht="15" hidden="false" customHeight="false" outlineLevel="0" collapsed="false">
      <c r="A30" s="22" t="n">
        <f aca="false">Data!B30</f>
        <v>45108</v>
      </c>
      <c r="B30" s="49" t="n">
        <f aca="false">Data!C30</f>
        <v>31</v>
      </c>
      <c r="C30" s="50" t="n">
        <f aca="false">SUMPRODUCT(Kebutuhan_Bahan!$C$6:$D$6,Data!$D30:$E30)</f>
        <v>63800</v>
      </c>
      <c r="D30" s="50" t="n">
        <f aca="false">SUMPRODUCT(Kebutuhan_Bahan!$C$7:$D$7,Data!$D30:$E30)</f>
        <v>39900</v>
      </c>
      <c r="E30" s="50" t="n">
        <f aca="false">SUMPRODUCT(Kebutuhan_Bahan!$C$8:$D$8,Data!$D30:$E30)</f>
        <v>851</v>
      </c>
      <c r="F30" s="50" t="n">
        <f aca="false">SUMPRODUCT(Kebutuhan_Bahan!$C$9:$D$9,Data!$D30:$E30)</f>
        <v>7180</v>
      </c>
      <c r="G30" s="50" t="n">
        <f aca="false">SUMPRODUCT(Kebutuhan_Bahan!$C$10:$D$10,Data!$D30:$E30)</f>
        <v>17550</v>
      </c>
      <c r="H30" s="51" t="n">
        <f aca="false">C30/$B30</f>
        <v>2058.06451612903</v>
      </c>
      <c r="I30" s="51" t="n">
        <f aca="false">D30/$B30</f>
        <v>1287.09677419355</v>
      </c>
      <c r="J30" s="51" t="n">
        <f aca="false">E30/$B30</f>
        <v>27.4516129032258</v>
      </c>
      <c r="K30" s="51" t="n">
        <f aca="false">F30/$B30</f>
        <v>231.612903225806</v>
      </c>
      <c r="L30" s="51" t="n">
        <f aca="false">G30/$B30</f>
        <v>566.129032258065</v>
      </c>
    </row>
    <row r="31" customFormat="false" ht="15" hidden="false" customHeight="false" outlineLevel="0" collapsed="false">
      <c r="A31" s="22" t="n">
        <f aca="false">Data!B31</f>
        <v>45139</v>
      </c>
      <c r="B31" s="49" t="n">
        <f aca="false">Data!C31</f>
        <v>31</v>
      </c>
      <c r="C31" s="50" t="n">
        <f aca="false">SUMPRODUCT(Kebutuhan_Bahan!$C$6:$D$6,Data!$D31:$E31)</f>
        <v>51400</v>
      </c>
      <c r="D31" s="50" t="n">
        <f aca="false">SUMPRODUCT(Kebutuhan_Bahan!$C$7:$D$7,Data!$D31:$E31)</f>
        <v>33900</v>
      </c>
      <c r="E31" s="50" t="n">
        <f aca="false">SUMPRODUCT(Kebutuhan_Bahan!$C$8:$D$8,Data!$D31:$E31)</f>
        <v>709</v>
      </c>
      <c r="F31" s="50" t="n">
        <f aca="false">SUMPRODUCT(Kebutuhan_Bahan!$C$9:$D$9,Data!$D31:$E31)</f>
        <v>5960</v>
      </c>
      <c r="G31" s="50" t="n">
        <f aca="false">SUMPRODUCT(Kebutuhan_Bahan!$C$10:$D$10,Data!$D31:$E31)</f>
        <v>14490</v>
      </c>
      <c r="H31" s="51" t="n">
        <f aca="false">C31/$B31</f>
        <v>1658.06451612903</v>
      </c>
      <c r="I31" s="51" t="n">
        <f aca="false">D31/$B31</f>
        <v>1093.54838709677</v>
      </c>
      <c r="J31" s="51" t="n">
        <f aca="false">E31/$B31</f>
        <v>22.8709677419355</v>
      </c>
      <c r="K31" s="51" t="n">
        <f aca="false">F31/$B31</f>
        <v>192.258064516129</v>
      </c>
      <c r="L31" s="51" t="n">
        <f aca="false">G31/$B31</f>
        <v>467.41935483871</v>
      </c>
    </row>
    <row r="32" customFormat="false" ht="15" hidden="false" customHeight="false" outlineLevel="0" collapsed="false">
      <c r="A32" s="22" t="n">
        <f aca="false">Data!B32</f>
        <v>45170</v>
      </c>
      <c r="B32" s="49" t="n">
        <f aca="false">Data!C32</f>
        <v>30</v>
      </c>
      <c r="C32" s="50" t="n">
        <f aca="false">SUMPRODUCT(Kebutuhan_Bahan!$C$6:$D$6,Data!$D32:$E32)</f>
        <v>57200</v>
      </c>
      <c r="D32" s="50" t="n">
        <f aca="false">SUMPRODUCT(Kebutuhan_Bahan!$C$7:$D$7,Data!$D32:$E32)</f>
        <v>36300</v>
      </c>
      <c r="E32" s="50" t="n">
        <f aca="false">SUMPRODUCT(Kebutuhan_Bahan!$C$8:$D$8,Data!$D32:$E32)</f>
        <v>770</v>
      </c>
      <c r="F32" s="50" t="n">
        <f aca="false">SUMPRODUCT(Kebutuhan_Bahan!$C$9:$D$9,Data!$D32:$E32)</f>
        <v>6490</v>
      </c>
      <c r="G32" s="50" t="n">
        <f aca="false">SUMPRODUCT(Kebutuhan_Bahan!$C$10:$D$10,Data!$D32:$E32)</f>
        <v>15840</v>
      </c>
      <c r="H32" s="51" t="n">
        <f aca="false">C32/$B32</f>
        <v>1906.66666666667</v>
      </c>
      <c r="I32" s="51" t="n">
        <f aca="false">D32/$B32</f>
        <v>1210</v>
      </c>
      <c r="J32" s="51" t="n">
        <f aca="false">E32/$B32</f>
        <v>25.6666666666667</v>
      </c>
      <c r="K32" s="51" t="n">
        <f aca="false">F32/$B32</f>
        <v>216.333333333333</v>
      </c>
      <c r="L32" s="51" t="n">
        <f aca="false">G32/$B32</f>
        <v>528</v>
      </c>
    </row>
    <row r="33" customFormat="false" ht="15" hidden="false" customHeight="false" outlineLevel="0" collapsed="false">
      <c r="A33" s="22" t="n">
        <f aca="false">Data!B33</f>
        <v>45200</v>
      </c>
      <c r="B33" s="49" t="n">
        <f aca="false">Data!C33</f>
        <v>31</v>
      </c>
      <c r="C33" s="50" t="n">
        <f aca="false">SUMPRODUCT(Kebutuhan_Bahan!$C$6:$D$6,Data!$D33:$E33)</f>
        <v>50400</v>
      </c>
      <c r="D33" s="50" t="n">
        <f aca="false">SUMPRODUCT(Kebutuhan_Bahan!$C$7:$D$7,Data!$D33:$E33)</f>
        <v>36150</v>
      </c>
      <c r="E33" s="50" t="n">
        <f aca="false">SUMPRODUCT(Kebutuhan_Bahan!$C$8:$D$8,Data!$D33:$E33)</f>
        <v>734</v>
      </c>
      <c r="F33" s="50" t="n">
        <f aca="false">SUMPRODUCT(Kebutuhan_Bahan!$C$9:$D$9,Data!$D33:$E33)</f>
        <v>6135</v>
      </c>
      <c r="G33" s="50" t="n">
        <f aca="false">SUMPRODUCT(Kebutuhan_Bahan!$C$10:$D$10,Data!$D33:$E33)</f>
        <v>14790</v>
      </c>
      <c r="H33" s="51" t="n">
        <f aca="false">C33/$B33</f>
        <v>1625.8064516129</v>
      </c>
      <c r="I33" s="51" t="n">
        <f aca="false">D33/$B33</f>
        <v>1166.12903225806</v>
      </c>
      <c r="J33" s="51" t="n">
        <f aca="false">E33/$B33</f>
        <v>23.6774193548387</v>
      </c>
      <c r="K33" s="51" t="n">
        <f aca="false">F33/$B33</f>
        <v>197.903225806452</v>
      </c>
      <c r="L33" s="51" t="n">
        <f aca="false">G33/$B33</f>
        <v>477.096774193548</v>
      </c>
    </row>
    <row r="34" customFormat="false" ht="15" hidden="false" customHeight="false" outlineLevel="0" collapsed="false">
      <c r="A34" s="22" t="n">
        <f aca="false">Data!B34</f>
        <v>45231</v>
      </c>
      <c r="B34" s="49" t="n">
        <f aca="false">Data!C34</f>
        <v>30</v>
      </c>
      <c r="C34" s="50" t="n">
        <f aca="false">SUMPRODUCT(Kebutuhan_Bahan!$C$6:$D$6,Data!$D34:$E34)</f>
        <v>54400</v>
      </c>
      <c r="D34" s="50" t="n">
        <f aca="false">SUMPRODUCT(Kebutuhan_Bahan!$C$7:$D$7,Data!$D34:$E34)</f>
        <v>35400</v>
      </c>
      <c r="E34" s="50" t="n">
        <f aca="false">SUMPRODUCT(Kebutuhan_Bahan!$C$8:$D$8,Data!$D34:$E34)</f>
        <v>744</v>
      </c>
      <c r="F34" s="50" t="n">
        <f aca="false">SUMPRODUCT(Kebutuhan_Bahan!$C$9:$D$9,Data!$D34:$E34)</f>
        <v>6260</v>
      </c>
      <c r="G34" s="50" t="n">
        <f aca="false">SUMPRODUCT(Kebutuhan_Bahan!$C$10:$D$10,Data!$D34:$E34)</f>
        <v>15240</v>
      </c>
      <c r="H34" s="51" t="n">
        <f aca="false">C34/$B34</f>
        <v>1813.33333333333</v>
      </c>
      <c r="I34" s="51" t="n">
        <f aca="false">D34/$B34</f>
        <v>1180</v>
      </c>
      <c r="J34" s="51" t="n">
        <f aca="false">E34/$B34</f>
        <v>24.8</v>
      </c>
      <c r="K34" s="51" t="n">
        <f aca="false">F34/$B34</f>
        <v>208.666666666667</v>
      </c>
      <c r="L34" s="51" t="n">
        <f aca="false">G34/$B34</f>
        <v>508</v>
      </c>
    </row>
    <row r="35" customFormat="false" ht="15" hidden="false" customHeight="false" outlineLevel="0" collapsed="false">
      <c r="A35" s="22" t="n">
        <f aca="false">Data!B35</f>
        <v>45261</v>
      </c>
      <c r="B35" s="49" t="n">
        <f aca="false">Data!C35</f>
        <v>31</v>
      </c>
      <c r="C35" s="50" t="n">
        <f aca="false">SUMPRODUCT(Kebutuhan_Bahan!$C$6:$D$6,Data!$D35:$E35)</f>
        <v>63800</v>
      </c>
      <c r="D35" s="50" t="n">
        <f aca="false">SUMPRODUCT(Kebutuhan_Bahan!$C$7:$D$7,Data!$D35:$E35)</f>
        <v>43200</v>
      </c>
      <c r="E35" s="50" t="n">
        <f aca="false">SUMPRODUCT(Kebutuhan_Bahan!$C$8:$D$8,Data!$D35:$E35)</f>
        <v>895</v>
      </c>
      <c r="F35" s="50" t="n">
        <f aca="false">SUMPRODUCT(Kebutuhan_Bahan!$C$9:$D$9,Data!$D35:$E35)</f>
        <v>7510</v>
      </c>
      <c r="G35" s="50" t="n">
        <f aca="false">SUMPRODUCT(Kebutuhan_Bahan!$C$10:$D$10,Data!$D35:$E35)</f>
        <v>18210</v>
      </c>
      <c r="H35" s="51" t="n">
        <f aca="false">C35/$B35</f>
        <v>2058.06451612903</v>
      </c>
      <c r="I35" s="51" t="n">
        <f aca="false">D35/$B35</f>
        <v>1393.54838709677</v>
      </c>
      <c r="J35" s="51" t="n">
        <f aca="false">E35/$B35</f>
        <v>28.8709677419355</v>
      </c>
      <c r="K35" s="51" t="n">
        <f aca="false">F35/$B35</f>
        <v>242.258064516129</v>
      </c>
      <c r="L35" s="51" t="n">
        <f aca="false">G35/$B35</f>
        <v>587.41935483871</v>
      </c>
    </row>
    <row r="36" customFormat="false" ht="15" hidden="false" customHeight="false" outlineLevel="0" collapsed="false">
      <c r="A36" s="22" t="n">
        <f aca="false">Data!B36</f>
        <v>45292</v>
      </c>
      <c r="B36" s="49" t="n">
        <f aca="false">Data!C36</f>
        <v>31</v>
      </c>
      <c r="C36" s="50" t="n">
        <f aca="false">SUMPRODUCT(Kebutuhan_Bahan!$C$6:$D$6,Data!$D36:$E36)</f>
        <v>66800</v>
      </c>
      <c r="D36" s="50" t="n">
        <f aca="false">SUMPRODUCT(Kebutuhan_Bahan!$C$7:$D$7,Data!$D36:$E36)</f>
        <v>41550</v>
      </c>
      <c r="E36" s="50" t="n">
        <f aca="false">SUMPRODUCT(Kebutuhan_Bahan!$C$8:$D$8,Data!$D36:$E36)</f>
        <v>888</v>
      </c>
      <c r="F36" s="50" t="n">
        <f aca="false">SUMPRODUCT(Kebutuhan_Bahan!$C$9:$D$9,Data!$D36:$E36)</f>
        <v>7495</v>
      </c>
      <c r="G36" s="50" t="n">
        <f aca="false">SUMPRODUCT(Kebutuhan_Bahan!$C$10:$D$10,Data!$D36:$E36)</f>
        <v>18330</v>
      </c>
      <c r="H36" s="51" t="n">
        <f aca="false">C36/$B36</f>
        <v>2154.83870967742</v>
      </c>
      <c r="I36" s="51" t="n">
        <f aca="false">D36/$B36</f>
        <v>1340.32258064516</v>
      </c>
      <c r="J36" s="51" t="n">
        <f aca="false">E36/$B36</f>
        <v>28.6451612903226</v>
      </c>
      <c r="K36" s="51" t="n">
        <f aca="false">F36/$B36</f>
        <v>241.774193548387</v>
      </c>
      <c r="L36" s="51" t="n">
        <f aca="false">G36/$B36</f>
        <v>591.290322580645</v>
      </c>
    </row>
    <row r="37" customFormat="false" ht="15" hidden="false" customHeight="false" outlineLevel="0" collapsed="false">
      <c r="A37" s="22" t="n">
        <f aca="false">Data!B37</f>
        <v>45323</v>
      </c>
      <c r="B37" s="49" t="n">
        <f aca="false">Data!C37</f>
        <v>29</v>
      </c>
      <c r="C37" s="50" t="n">
        <f aca="false">SUMPRODUCT(Kebutuhan_Bahan!$C$6:$D$6,Data!$D37:$E37)</f>
        <v>56800</v>
      </c>
      <c r="D37" s="50" t="n">
        <f aca="false">SUMPRODUCT(Kebutuhan_Bahan!$C$7:$D$7,Data!$D37:$E37)</f>
        <v>37200</v>
      </c>
      <c r="E37" s="50" t="n">
        <f aca="false">SUMPRODUCT(Kebutuhan_Bahan!$C$8:$D$8,Data!$D37:$E37)</f>
        <v>780</v>
      </c>
      <c r="F37" s="50" t="n">
        <f aca="false">SUMPRODUCT(Kebutuhan_Bahan!$C$9:$D$9,Data!$D37:$E37)</f>
        <v>6560</v>
      </c>
      <c r="G37" s="50" t="n">
        <f aca="false">SUMPRODUCT(Kebutuhan_Bahan!$C$10:$D$10,Data!$D37:$E37)</f>
        <v>15960</v>
      </c>
      <c r="H37" s="51" t="n">
        <f aca="false">C37/$B37</f>
        <v>1958.62068965517</v>
      </c>
      <c r="I37" s="51" t="n">
        <f aca="false">D37/$B37</f>
        <v>1282.75862068966</v>
      </c>
      <c r="J37" s="51" t="n">
        <f aca="false">E37/$B37</f>
        <v>26.8965517241379</v>
      </c>
      <c r="K37" s="51" t="n">
        <f aca="false">F37/$B37</f>
        <v>226.206896551724</v>
      </c>
      <c r="L37" s="51" t="n">
        <f aca="false">G37/$B37</f>
        <v>550.344827586207</v>
      </c>
    </row>
    <row r="38" customFormat="false" ht="15" hidden="false" customHeight="false" outlineLevel="0" collapsed="false">
      <c r="A38" s="22" t="n">
        <f aca="false">Data!B38</f>
        <v>45352</v>
      </c>
      <c r="B38" s="49" t="n">
        <f aca="false">Data!C38</f>
        <v>31</v>
      </c>
      <c r="C38" s="50" t="n">
        <f aca="false">SUMPRODUCT(Kebutuhan_Bahan!$C$6:$D$6,Data!$D38:$E38)</f>
        <v>71600</v>
      </c>
      <c r="D38" s="50" t="n">
        <f aca="false">SUMPRODUCT(Kebutuhan_Bahan!$C$7:$D$7,Data!$D38:$E38)</f>
        <v>42000</v>
      </c>
      <c r="E38" s="50" t="n">
        <f aca="false">SUMPRODUCT(Kebutuhan_Bahan!$C$8:$D$8,Data!$D38:$E38)</f>
        <v>918</v>
      </c>
      <c r="F38" s="50" t="n">
        <f aca="false">SUMPRODUCT(Kebutuhan_Bahan!$C$9:$D$9,Data!$D38:$E38)</f>
        <v>7780</v>
      </c>
      <c r="G38" s="50" t="n">
        <f aca="false">SUMPRODUCT(Kebutuhan_Bahan!$C$10:$D$10,Data!$D38:$E38)</f>
        <v>19140</v>
      </c>
      <c r="H38" s="51" t="n">
        <f aca="false">C38/$B38</f>
        <v>2309.67741935484</v>
      </c>
      <c r="I38" s="51" t="n">
        <f aca="false">D38/$B38</f>
        <v>1354.83870967742</v>
      </c>
      <c r="J38" s="51" t="n">
        <f aca="false">E38/$B38</f>
        <v>29.6129032258065</v>
      </c>
      <c r="K38" s="51" t="n">
        <f aca="false">F38/$B38</f>
        <v>250.967741935484</v>
      </c>
      <c r="L38" s="51" t="n">
        <f aca="false">G38/$B38</f>
        <v>617.41935483871</v>
      </c>
    </row>
    <row r="39" customFormat="false" ht="15" hidden="false" customHeight="false" outlineLevel="0" collapsed="false">
      <c r="A39" s="22" t="n">
        <f aca="false">Data!B39</f>
        <v>45383</v>
      </c>
      <c r="B39" s="49" t="n">
        <f aca="false">Data!C39</f>
        <v>30</v>
      </c>
      <c r="C39" s="50" t="n">
        <f aca="false">SUMPRODUCT(Kebutuhan_Bahan!$C$6:$D$6,Data!$D39:$E39)</f>
        <v>64200</v>
      </c>
      <c r="D39" s="50" t="n">
        <f aca="false">SUMPRODUCT(Kebutuhan_Bahan!$C$7:$D$7,Data!$D39:$E39)</f>
        <v>43950</v>
      </c>
      <c r="E39" s="50" t="n">
        <f aca="false">SUMPRODUCT(Kebutuhan_Bahan!$C$8:$D$8,Data!$D39:$E39)</f>
        <v>907</v>
      </c>
      <c r="F39" s="50" t="n">
        <f aca="false">SUMPRODUCT(Kebutuhan_Bahan!$C$9:$D$9,Data!$D39:$E39)</f>
        <v>7605</v>
      </c>
      <c r="G39" s="50" t="n">
        <f aca="false">SUMPRODUCT(Kebutuhan_Bahan!$C$10:$D$10,Data!$D39:$E39)</f>
        <v>18420</v>
      </c>
      <c r="H39" s="51" t="n">
        <f aca="false">C39/$B39</f>
        <v>2140</v>
      </c>
      <c r="I39" s="51" t="n">
        <f aca="false">D39/$B39</f>
        <v>1465</v>
      </c>
      <c r="J39" s="51" t="n">
        <f aca="false">E39/$B39</f>
        <v>30.2333333333333</v>
      </c>
      <c r="K39" s="51" t="n">
        <f aca="false">F39/$B39</f>
        <v>253.5</v>
      </c>
      <c r="L39" s="51" t="n">
        <f aca="false">G39/$B39</f>
        <v>614</v>
      </c>
    </row>
    <row r="40" customFormat="false" ht="15" hidden="false" customHeight="false" outlineLevel="0" collapsed="false">
      <c r="A40" s="22" t="n">
        <f aca="false">Data!B40</f>
        <v>45413</v>
      </c>
      <c r="B40" s="49" t="n">
        <f aca="false">Data!C40</f>
        <v>31</v>
      </c>
      <c r="C40" s="50" t="n">
        <f aca="false">SUMPRODUCT(Kebutuhan_Bahan!$C$6:$D$6,Data!$D40:$E40)</f>
        <v>57000</v>
      </c>
      <c r="D40" s="50" t="n">
        <f aca="false">SUMPRODUCT(Kebutuhan_Bahan!$C$7:$D$7,Data!$D40:$E40)</f>
        <v>36150</v>
      </c>
      <c r="E40" s="50" t="n">
        <f aca="false">SUMPRODUCT(Kebutuhan_Bahan!$C$8:$D$8,Data!$D40:$E40)</f>
        <v>767</v>
      </c>
      <c r="F40" s="50" t="n">
        <f aca="false">SUMPRODUCT(Kebutuhan_Bahan!$C$9:$D$9,Data!$D40:$E40)</f>
        <v>6465</v>
      </c>
      <c r="G40" s="50" t="n">
        <f aca="false">SUMPRODUCT(Kebutuhan_Bahan!$C$10:$D$10,Data!$D40:$E40)</f>
        <v>15780</v>
      </c>
      <c r="H40" s="51" t="n">
        <f aca="false">C40/$B40</f>
        <v>1838.70967741935</v>
      </c>
      <c r="I40" s="51" t="n">
        <f aca="false">D40/$B40</f>
        <v>1166.12903225806</v>
      </c>
      <c r="J40" s="51" t="n">
        <f aca="false">E40/$B40</f>
        <v>24.741935483871</v>
      </c>
      <c r="K40" s="51" t="n">
        <f aca="false">F40/$B40</f>
        <v>208.548387096774</v>
      </c>
      <c r="L40" s="51" t="n">
        <f aca="false">G40/$B40</f>
        <v>509.032258064516</v>
      </c>
    </row>
    <row r="41" customFormat="false" ht="15" hidden="false" customHeight="false" outlineLevel="0" collapsed="false">
      <c r="A41" s="22" t="n">
        <f aca="false">Data!B41</f>
        <v>45444</v>
      </c>
      <c r="B41" s="49" t="n">
        <f aca="false">Data!C41</f>
        <v>30</v>
      </c>
      <c r="C41" s="50" t="n">
        <f aca="false">SUMPRODUCT(Kebutuhan_Bahan!$C$6:$D$6,Data!$D41:$E41)</f>
        <v>54000</v>
      </c>
      <c r="D41" s="50" t="n">
        <f aca="false">SUMPRODUCT(Kebutuhan_Bahan!$C$7:$D$7,Data!$D41:$E41)</f>
        <v>34950</v>
      </c>
      <c r="E41" s="50" t="n">
        <f aca="false">SUMPRODUCT(Kebutuhan_Bahan!$C$8:$D$8,Data!$D41:$E41)</f>
        <v>736</v>
      </c>
      <c r="F41" s="50" t="n">
        <f aca="false">SUMPRODUCT(Kebutuhan_Bahan!$C$9:$D$9,Data!$D41:$E41)</f>
        <v>6195</v>
      </c>
      <c r="G41" s="50" t="n">
        <f aca="false">SUMPRODUCT(Kebutuhan_Bahan!$C$10:$D$10,Data!$D41:$E41)</f>
        <v>15090</v>
      </c>
      <c r="H41" s="51" t="n">
        <f aca="false">C41/$B41</f>
        <v>1800</v>
      </c>
      <c r="I41" s="51" t="n">
        <f aca="false">D41/$B41</f>
        <v>1165</v>
      </c>
      <c r="J41" s="51" t="n">
        <f aca="false">E41/$B41</f>
        <v>24.5333333333333</v>
      </c>
      <c r="K41" s="51" t="n">
        <f aca="false">F41/$B41</f>
        <v>206.5</v>
      </c>
      <c r="L41" s="51" t="n">
        <f aca="false">G41/$B41</f>
        <v>503</v>
      </c>
    </row>
    <row r="42" customFormat="false" ht="15" hidden="false" customHeight="false" outlineLevel="0" collapsed="false">
      <c r="A42" s="22" t="n">
        <f aca="false">Data!B42</f>
        <v>45474</v>
      </c>
      <c r="B42" s="49" t="n">
        <f aca="false">Data!C42</f>
        <v>31</v>
      </c>
      <c r="C42" s="50" t="n">
        <f aca="false">SUMPRODUCT(Kebutuhan_Bahan!$C$6:$D$6,Data!$D42:$E42)</f>
        <v>59800</v>
      </c>
      <c r="D42" s="50" t="n">
        <f aca="false">SUMPRODUCT(Kebutuhan_Bahan!$C$7:$D$7,Data!$D42:$E42)</f>
        <v>38700</v>
      </c>
      <c r="E42" s="50" t="n">
        <f aca="false">SUMPRODUCT(Kebutuhan_Bahan!$C$8:$D$8,Data!$D42:$E42)</f>
        <v>815</v>
      </c>
      <c r="F42" s="50" t="n">
        <f aca="false">SUMPRODUCT(Kebutuhan_Bahan!$C$9:$D$9,Data!$D42:$E42)</f>
        <v>6860</v>
      </c>
      <c r="G42" s="50" t="n">
        <f aca="false">SUMPRODUCT(Kebutuhan_Bahan!$C$10:$D$10,Data!$D42:$E42)</f>
        <v>16710</v>
      </c>
      <c r="H42" s="51" t="n">
        <f aca="false">C42/$B42</f>
        <v>1929.03225806452</v>
      </c>
      <c r="I42" s="51" t="n">
        <f aca="false">D42/$B42</f>
        <v>1248.38709677419</v>
      </c>
      <c r="J42" s="51" t="n">
        <f aca="false">E42/$B42</f>
        <v>26.2903225806452</v>
      </c>
      <c r="K42" s="51" t="n">
        <f aca="false">F42/$B42</f>
        <v>221.290322580645</v>
      </c>
      <c r="L42" s="51" t="n">
        <f aca="false">G42/$B42</f>
        <v>539.032258064516</v>
      </c>
    </row>
    <row r="43" customFormat="false" ht="15" hidden="false" customHeight="false" outlineLevel="0" collapsed="false">
      <c r="A43" s="22" t="n">
        <f aca="false">Data!B43</f>
        <v>45505</v>
      </c>
      <c r="B43" s="49" t="n">
        <f aca="false">Data!C43</f>
        <v>31</v>
      </c>
      <c r="C43" s="50" t="n">
        <f aca="false">SUMPRODUCT(Kebutuhan_Bahan!$C$6:$D$6,Data!$D43:$E43)</f>
        <v>57200</v>
      </c>
      <c r="D43" s="50" t="n">
        <f aca="false">SUMPRODUCT(Kebutuhan_Bahan!$C$7:$D$7,Data!$D43:$E43)</f>
        <v>33750</v>
      </c>
      <c r="E43" s="50" t="n">
        <f aca="false">SUMPRODUCT(Kebutuhan_Bahan!$C$8:$D$8,Data!$D43:$E43)</f>
        <v>736</v>
      </c>
      <c r="F43" s="50" t="n">
        <f aca="false">SUMPRODUCT(Kebutuhan_Bahan!$C$9:$D$9,Data!$D43:$E43)</f>
        <v>6235</v>
      </c>
      <c r="G43" s="50" t="n">
        <f aca="false">SUMPRODUCT(Kebutuhan_Bahan!$C$10:$D$10,Data!$D43:$E43)</f>
        <v>15330</v>
      </c>
      <c r="H43" s="51" t="n">
        <f aca="false">C43/$B43</f>
        <v>1845.16129032258</v>
      </c>
      <c r="I43" s="51" t="n">
        <f aca="false">D43/$B43</f>
        <v>1088.70967741935</v>
      </c>
      <c r="J43" s="51" t="n">
        <f aca="false">E43/$B43</f>
        <v>23.741935483871</v>
      </c>
      <c r="K43" s="51" t="n">
        <f aca="false">F43/$B43</f>
        <v>201.129032258065</v>
      </c>
      <c r="L43" s="51" t="n">
        <f aca="false">G43/$B43</f>
        <v>494.516129032258</v>
      </c>
    </row>
    <row r="44" customFormat="false" ht="15" hidden="false" customHeight="false" outlineLevel="0" collapsed="false">
      <c r="A44" s="22" t="n">
        <f aca="false">Data!B44</f>
        <v>45536</v>
      </c>
      <c r="B44" s="49" t="n">
        <f aca="false">Data!C44</f>
        <v>30</v>
      </c>
      <c r="C44" s="50" t="n">
        <f aca="false">SUMPRODUCT(Kebutuhan_Bahan!$C$6:$D$6,Data!$D44:$E44)</f>
        <v>58600</v>
      </c>
      <c r="D44" s="50" t="n">
        <f aca="false">SUMPRODUCT(Kebutuhan_Bahan!$C$7:$D$7,Data!$D44:$E44)</f>
        <v>34650</v>
      </c>
      <c r="E44" s="50" t="n">
        <f aca="false">SUMPRODUCT(Kebutuhan_Bahan!$C$8:$D$8,Data!$D44:$E44)</f>
        <v>755</v>
      </c>
      <c r="F44" s="50" t="n">
        <f aca="false">SUMPRODUCT(Kebutuhan_Bahan!$C$9:$D$9,Data!$D44:$E44)</f>
        <v>6395</v>
      </c>
      <c r="G44" s="50" t="n">
        <f aca="false">SUMPRODUCT(Kebutuhan_Bahan!$C$10:$D$10,Data!$D44:$E44)</f>
        <v>15720</v>
      </c>
      <c r="H44" s="51" t="n">
        <f aca="false">C44/$B44</f>
        <v>1953.33333333333</v>
      </c>
      <c r="I44" s="51" t="n">
        <f aca="false">D44/$B44</f>
        <v>1155</v>
      </c>
      <c r="J44" s="51" t="n">
        <f aca="false">E44/$B44</f>
        <v>25.1666666666667</v>
      </c>
      <c r="K44" s="51" t="n">
        <f aca="false">F44/$B44</f>
        <v>213.166666666667</v>
      </c>
      <c r="L44" s="51" t="n">
        <f aca="false">G44/$B44</f>
        <v>524</v>
      </c>
    </row>
    <row r="45" customFormat="false" ht="15" hidden="false" customHeight="false" outlineLevel="0" collapsed="false">
      <c r="A45" s="22" t="n">
        <f aca="false">Data!B45</f>
        <v>45566</v>
      </c>
      <c r="B45" s="49" t="n">
        <f aca="false">Data!C45</f>
        <v>31</v>
      </c>
      <c r="C45" s="50" t="n">
        <f aca="false">SUMPRODUCT(Kebutuhan_Bahan!$C$6:$D$6,Data!$D45:$E45)</f>
        <v>56800</v>
      </c>
      <c r="D45" s="50" t="n">
        <f aca="false">SUMPRODUCT(Kebutuhan_Bahan!$C$7:$D$7,Data!$D45:$E45)</f>
        <v>34050</v>
      </c>
      <c r="E45" s="50" t="n">
        <f aca="false">SUMPRODUCT(Kebutuhan_Bahan!$C$8:$D$8,Data!$D45:$E45)</f>
        <v>738</v>
      </c>
      <c r="F45" s="50" t="n">
        <f aca="false">SUMPRODUCT(Kebutuhan_Bahan!$C$9:$D$9,Data!$D45:$E45)</f>
        <v>6245</v>
      </c>
      <c r="G45" s="50" t="n">
        <f aca="false">SUMPRODUCT(Kebutuhan_Bahan!$C$10:$D$10,Data!$D45:$E45)</f>
        <v>15330</v>
      </c>
      <c r="H45" s="51" t="n">
        <f aca="false">C45/$B45</f>
        <v>1832.25806451613</v>
      </c>
      <c r="I45" s="51" t="n">
        <f aca="false">D45/$B45</f>
        <v>1098.38709677419</v>
      </c>
      <c r="J45" s="51" t="n">
        <f aca="false">E45/$B45</f>
        <v>23.8064516129032</v>
      </c>
      <c r="K45" s="51" t="n">
        <f aca="false">F45/$B45</f>
        <v>201.451612903226</v>
      </c>
      <c r="L45" s="51" t="n">
        <f aca="false">G45/$B45</f>
        <v>494.516129032258</v>
      </c>
    </row>
    <row r="46" customFormat="false" ht="15" hidden="false" customHeight="false" outlineLevel="0" collapsed="false">
      <c r="A46" s="22" t="n">
        <f aca="false">Data!B46</f>
        <v>45597</v>
      </c>
      <c r="B46" s="49" t="n">
        <f aca="false">Data!C46</f>
        <v>30</v>
      </c>
      <c r="C46" s="50" t="n">
        <f aca="false">SUMPRODUCT(Kebutuhan_Bahan!$C$6:$D$6,Data!$D46:$E46)</f>
        <v>54800</v>
      </c>
      <c r="D46" s="50" t="n">
        <f aca="false">SUMPRODUCT(Kebutuhan_Bahan!$C$7:$D$7,Data!$D46:$E46)</f>
        <v>35850</v>
      </c>
      <c r="E46" s="50" t="n">
        <f aca="false">SUMPRODUCT(Kebutuhan_Bahan!$C$8:$D$8,Data!$D46:$E46)</f>
        <v>752</v>
      </c>
      <c r="F46" s="50" t="n">
        <f aca="false">SUMPRODUCT(Kebutuhan_Bahan!$C$9:$D$9,Data!$D46:$E46)</f>
        <v>6325</v>
      </c>
      <c r="G46" s="50" t="n">
        <f aca="false">SUMPRODUCT(Kebutuhan_Bahan!$C$10:$D$10,Data!$D46:$E46)</f>
        <v>15390</v>
      </c>
      <c r="H46" s="51" t="n">
        <f aca="false">C46/$B46</f>
        <v>1826.66666666667</v>
      </c>
      <c r="I46" s="51" t="n">
        <f aca="false">D46/$B46</f>
        <v>1195</v>
      </c>
      <c r="J46" s="51" t="n">
        <f aca="false">E46/$B46</f>
        <v>25.0666666666667</v>
      </c>
      <c r="K46" s="51" t="n">
        <f aca="false">F46/$B46</f>
        <v>210.833333333333</v>
      </c>
      <c r="L46" s="51" t="n">
        <f aca="false">G46/$B46</f>
        <v>513</v>
      </c>
    </row>
    <row r="47" customFormat="false" ht="15" hidden="false" customHeight="false" outlineLevel="0" collapsed="false">
      <c r="A47" s="22" t="n">
        <f aca="false">Data!B47</f>
        <v>45627</v>
      </c>
      <c r="B47" s="49" t="n">
        <f aca="false">Data!C47</f>
        <v>31</v>
      </c>
      <c r="C47" s="50" t="n">
        <f aca="false">SUMPRODUCT(Kebutuhan_Bahan!$C$6:$D$6,Data!$D47:$E47)</f>
        <v>68000</v>
      </c>
      <c r="D47" s="50" t="n">
        <f aca="false">SUMPRODUCT(Kebutuhan_Bahan!$C$7:$D$7,Data!$D47:$E47)</f>
        <v>45000</v>
      </c>
      <c r="E47" s="50" t="n">
        <f aca="false">SUMPRODUCT(Kebutuhan_Bahan!$C$8:$D$8,Data!$D47:$E47)</f>
        <v>940</v>
      </c>
      <c r="F47" s="50" t="n">
        <f aca="false">SUMPRODUCT(Kebutuhan_Bahan!$C$9:$D$9,Data!$D47:$E47)</f>
        <v>7900</v>
      </c>
      <c r="G47" s="50" t="n">
        <f aca="false">SUMPRODUCT(Kebutuhan_Bahan!$C$10:$D$10,Data!$D47:$E47)</f>
        <v>19200</v>
      </c>
      <c r="H47" s="51" t="n">
        <f aca="false">C47/$B47</f>
        <v>2193.54838709677</v>
      </c>
      <c r="I47" s="51" t="n">
        <f aca="false">D47/$B47</f>
        <v>1451.61290322581</v>
      </c>
      <c r="J47" s="51" t="n">
        <f aca="false">E47/$B47</f>
        <v>30.3225806451613</v>
      </c>
      <c r="K47" s="51" t="n">
        <f aca="false">F47/$B47</f>
        <v>254.838709677419</v>
      </c>
      <c r="L47" s="51" t="n">
        <f aca="false">G47/$B47</f>
        <v>619.354838709677</v>
      </c>
    </row>
    <row r="48" customFormat="false" ht="15" hidden="false" customHeight="false" outlineLevel="0" collapsed="false">
      <c r="A48" s="22" t="n">
        <f aca="false">Data!B48</f>
        <v>45658</v>
      </c>
      <c r="B48" s="49" t="n">
        <f aca="false">Data!C48</f>
        <v>31</v>
      </c>
      <c r="C48" s="50" t="n">
        <f aca="false">SUMPRODUCT(Kebutuhan_Bahan!$C$6:$D$6,Data!$D48:$E48)</f>
        <v>70400</v>
      </c>
      <c r="D48" s="50" t="n">
        <f aca="false">SUMPRODUCT(Kebutuhan_Bahan!$C$7:$D$7,Data!$D48:$E48)</f>
        <v>41700</v>
      </c>
      <c r="E48" s="50" t="n">
        <f aca="false">SUMPRODUCT(Kebutuhan_Bahan!$C$8:$D$8,Data!$D48:$E48)</f>
        <v>908</v>
      </c>
      <c r="F48" s="50" t="n">
        <f aca="false">SUMPRODUCT(Kebutuhan_Bahan!$C$9:$D$9,Data!$D48:$E48)</f>
        <v>7690</v>
      </c>
      <c r="G48" s="50" t="n">
        <f aca="false">SUMPRODUCT(Kebutuhan_Bahan!$C$10:$D$10,Data!$D48:$E48)</f>
        <v>18900</v>
      </c>
      <c r="H48" s="51" t="n">
        <f aca="false">C48/$B48</f>
        <v>2270.96774193548</v>
      </c>
      <c r="I48" s="51" t="n">
        <f aca="false">D48/$B48</f>
        <v>1345.16129032258</v>
      </c>
      <c r="J48" s="51" t="n">
        <f aca="false">E48/$B48</f>
        <v>29.2903225806452</v>
      </c>
      <c r="K48" s="51" t="n">
        <f aca="false">F48/$B48</f>
        <v>248.064516129032</v>
      </c>
      <c r="L48" s="51" t="n">
        <f aca="false">G48/$B48</f>
        <v>609.677419354839</v>
      </c>
    </row>
    <row r="49" customFormat="false" ht="15" hidden="false" customHeight="false" outlineLevel="0" collapsed="false">
      <c r="A49" s="22" t="n">
        <f aca="false">Data!B49</f>
        <v>45689</v>
      </c>
      <c r="B49" s="49" t="n">
        <f aca="false">Data!C49</f>
        <v>28</v>
      </c>
      <c r="C49" s="50" t="n">
        <f aca="false">SUMPRODUCT(Kebutuhan_Bahan!$C$6:$D$6,Data!$D49:$E49)</f>
        <v>58800</v>
      </c>
      <c r="D49" s="50" t="n">
        <f aca="false">SUMPRODUCT(Kebutuhan_Bahan!$C$7:$D$7,Data!$D49:$E49)</f>
        <v>38100</v>
      </c>
      <c r="E49" s="50" t="n">
        <f aca="false">SUMPRODUCT(Kebutuhan_Bahan!$C$8:$D$8,Data!$D49:$E49)</f>
        <v>802</v>
      </c>
      <c r="F49" s="50" t="n">
        <f aca="false">SUMPRODUCT(Kebutuhan_Bahan!$C$9:$D$9,Data!$D49:$E49)</f>
        <v>6750</v>
      </c>
      <c r="G49" s="50" t="n">
        <f aca="false">SUMPRODUCT(Kebutuhan_Bahan!$C$10:$D$10,Data!$D49:$E49)</f>
        <v>16440</v>
      </c>
      <c r="H49" s="51" t="n">
        <f aca="false">C49/$B49</f>
        <v>2100</v>
      </c>
      <c r="I49" s="51" t="n">
        <f aca="false">D49/$B49</f>
        <v>1360.71428571429</v>
      </c>
      <c r="J49" s="51" t="n">
        <f aca="false">E49/$B49</f>
        <v>28.6428571428571</v>
      </c>
      <c r="K49" s="51" t="n">
        <f aca="false">F49/$B49</f>
        <v>241.071428571429</v>
      </c>
      <c r="L49" s="51" t="n">
        <f aca="false">G49/$B49</f>
        <v>587.142857142857</v>
      </c>
    </row>
    <row r="50" customFormat="false" ht="15" hidden="false" customHeight="false" outlineLevel="0" collapsed="false">
      <c r="A50" s="22" t="n">
        <f aca="false">Data!B50</f>
        <v>45717</v>
      </c>
      <c r="B50" s="49" t="n">
        <f aca="false">Data!C50</f>
        <v>31</v>
      </c>
      <c r="C50" s="50" t="n">
        <f aca="false">SUMPRODUCT(Kebutuhan_Bahan!$C$6:$D$6,Data!$D50:$E50)</f>
        <v>80600</v>
      </c>
      <c r="D50" s="50" t="n">
        <f aca="false">SUMPRODUCT(Kebutuhan_Bahan!$C$7:$D$7,Data!$D50:$E50)</f>
        <v>50400</v>
      </c>
      <c r="E50" s="50" t="n">
        <f aca="false">SUMPRODUCT(Kebutuhan_Bahan!$C$8:$D$8,Data!$D50:$E50)</f>
        <v>1075</v>
      </c>
      <c r="F50" s="50" t="n">
        <f aca="false">SUMPRODUCT(Kebutuhan_Bahan!$C$9:$D$9,Data!$D50:$E50)</f>
        <v>9070</v>
      </c>
      <c r="G50" s="50" t="n">
        <f aca="false">SUMPRODUCT(Kebutuhan_Bahan!$C$10:$D$10,Data!$D50:$E50)</f>
        <v>22170</v>
      </c>
      <c r="H50" s="51" t="n">
        <f aca="false">C50/$B50</f>
        <v>2600</v>
      </c>
      <c r="I50" s="51" t="n">
        <f aca="false">D50/$B50</f>
        <v>1625.8064516129</v>
      </c>
      <c r="J50" s="51" t="n">
        <f aca="false">E50/$B50</f>
        <v>34.6774193548387</v>
      </c>
      <c r="K50" s="51" t="n">
        <f aca="false">F50/$B50</f>
        <v>292.58064516129</v>
      </c>
      <c r="L50" s="51" t="n">
        <f aca="false">G50/$B50</f>
        <v>715.161290322581</v>
      </c>
    </row>
    <row r="51" customFormat="false" ht="15" hidden="false" customHeight="false" outlineLevel="0" collapsed="false">
      <c r="A51" s="22" t="n">
        <f aca="false">Data!B51</f>
        <v>45748</v>
      </c>
      <c r="B51" s="49" t="n">
        <f aca="false">Data!C51</f>
        <v>30</v>
      </c>
      <c r="C51" s="50" t="n">
        <f aca="false">SUMPRODUCT(Kebutuhan_Bahan!$C$6:$D$6,Data!$D51:$E51)</f>
        <v>70600</v>
      </c>
      <c r="D51" s="50" t="n">
        <f aca="false">SUMPRODUCT(Kebutuhan_Bahan!$C$7:$D$7,Data!$D51:$E51)</f>
        <v>39900</v>
      </c>
      <c r="E51" s="50" t="n">
        <f aca="false">SUMPRODUCT(Kebutuhan_Bahan!$C$8:$D$8,Data!$D51:$E51)</f>
        <v>885</v>
      </c>
      <c r="F51" s="50" t="n">
        <f aca="false">SUMPRODUCT(Kebutuhan_Bahan!$C$9:$D$9,Data!$D51:$E51)</f>
        <v>7520</v>
      </c>
      <c r="G51" s="50" t="n">
        <f aca="false">SUMPRODUCT(Kebutuhan_Bahan!$C$10:$D$10,Data!$D51:$E51)</f>
        <v>18570</v>
      </c>
      <c r="H51" s="51" t="n">
        <f aca="false">C51/$B51</f>
        <v>2353.33333333333</v>
      </c>
      <c r="I51" s="51" t="n">
        <f aca="false">D51/$B51</f>
        <v>1330</v>
      </c>
      <c r="J51" s="51" t="n">
        <f aca="false">E51/$B51</f>
        <v>29.5</v>
      </c>
      <c r="K51" s="51" t="n">
        <f aca="false">F51/$B51</f>
        <v>250.666666666667</v>
      </c>
      <c r="L51" s="51" t="n">
        <f aca="false">G51/$B51</f>
        <v>619</v>
      </c>
    </row>
    <row r="52" customFormat="false" ht="15" hidden="false" customHeight="false" outlineLevel="0" collapsed="false">
      <c r="A52" s="22" t="n">
        <f aca="false">Data!B52</f>
        <v>45778</v>
      </c>
      <c r="B52" s="49" t="n">
        <f aca="false">Data!C52</f>
        <v>31</v>
      </c>
      <c r="C52" s="50" t="n">
        <f aca="false">SUMPRODUCT(Kebutuhan_Bahan!$C$6:$D$6,Data!$D52:$E52)</f>
        <v>55600</v>
      </c>
      <c r="D52" s="50" t="n">
        <f aca="false">SUMPRODUCT(Kebutuhan_Bahan!$C$7:$D$7,Data!$D52:$E52)</f>
        <v>36450</v>
      </c>
      <c r="E52" s="50" t="n">
        <f aca="false">SUMPRODUCT(Kebutuhan_Bahan!$C$8:$D$8,Data!$D52:$E52)</f>
        <v>764</v>
      </c>
      <c r="F52" s="50" t="n">
        <f aca="false">SUMPRODUCT(Kebutuhan_Bahan!$C$9:$D$9,Data!$D52:$E52)</f>
        <v>6425</v>
      </c>
      <c r="G52" s="50" t="n">
        <f aca="false">SUMPRODUCT(Kebutuhan_Bahan!$C$10:$D$10,Data!$D52:$E52)</f>
        <v>15630</v>
      </c>
      <c r="H52" s="51" t="n">
        <f aca="false">C52/$B52</f>
        <v>1793.54838709677</v>
      </c>
      <c r="I52" s="51" t="n">
        <f aca="false">D52/$B52</f>
        <v>1175.8064516129</v>
      </c>
      <c r="J52" s="51" t="n">
        <f aca="false">E52/$B52</f>
        <v>24.6451612903226</v>
      </c>
      <c r="K52" s="51" t="n">
        <f aca="false">F52/$B52</f>
        <v>207.258064516129</v>
      </c>
      <c r="L52" s="51" t="n">
        <f aca="false">G52/$B52</f>
        <v>504.193548387097</v>
      </c>
    </row>
    <row r="53" customFormat="false" ht="15" hidden="false" customHeight="false" outlineLevel="0" collapsed="false">
      <c r="A53" s="22" t="n">
        <f aca="false">Data!B53</f>
        <v>45809</v>
      </c>
      <c r="B53" s="49" t="n">
        <f aca="false">Data!C53</f>
        <v>30</v>
      </c>
      <c r="C53" s="50" t="n">
        <f aca="false">SUMPRODUCT(Kebutuhan_Bahan!$C$6:$D$6,Data!$D53:$E53)</f>
        <v>66000</v>
      </c>
      <c r="D53" s="50" t="n">
        <f aca="false">SUMPRODUCT(Kebutuhan_Bahan!$C$7:$D$7,Data!$D53:$E53)</f>
        <v>35850</v>
      </c>
      <c r="E53" s="50" t="n">
        <f aca="false">SUMPRODUCT(Kebutuhan_Bahan!$C$8:$D$8,Data!$D53:$E53)</f>
        <v>808</v>
      </c>
      <c r="F53" s="50" t="n">
        <f aca="false">SUMPRODUCT(Kebutuhan_Bahan!$C$9:$D$9,Data!$D53:$E53)</f>
        <v>6885</v>
      </c>
      <c r="G53" s="50" t="n">
        <f aca="false">SUMPRODUCT(Kebutuhan_Bahan!$C$10:$D$10,Data!$D53:$E53)</f>
        <v>17070</v>
      </c>
      <c r="H53" s="51" t="n">
        <f aca="false">C53/$B53</f>
        <v>2200</v>
      </c>
      <c r="I53" s="51" t="n">
        <f aca="false">D53/$B53</f>
        <v>1195</v>
      </c>
      <c r="J53" s="51" t="n">
        <f aca="false">E53/$B53</f>
        <v>26.9333333333333</v>
      </c>
      <c r="K53" s="51" t="n">
        <f aca="false">F53/$B53</f>
        <v>229.5</v>
      </c>
      <c r="L53" s="51" t="n">
        <f aca="false">G53/$B53</f>
        <v>569</v>
      </c>
    </row>
    <row r="54" customFormat="false" ht="15" hidden="false" customHeight="false" outlineLevel="0" collapsed="false">
      <c r="A54" s="22" t="n">
        <f aca="false">Data!B54</f>
        <v>45839</v>
      </c>
      <c r="B54" s="49" t="n">
        <f aca="false">Data!C54</f>
        <v>31</v>
      </c>
      <c r="C54" s="50" t="n">
        <f aca="false">SUMPRODUCT(Kebutuhan_Bahan!$C$6:$D$6,Data!$D54:$E54)</f>
        <v>75000</v>
      </c>
      <c r="D54" s="50" t="n">
        <f aca="false">SUMPRODUCT(Kebutuhan_Bahan!$C$7:$D$7,Data!$D54:$E54)</f>
        <v>41550</v>
      </c>
      <c r="E54" s="50" t="n">
        <f aca="false">SUMPRODUCT(Kebutuhan_Bahan!$C$8:$D$8,Data!$D54:$E54)</f>
        <v>929</v>
      </c>
      <c r="F54" s="50" t="n">
        <f aca="false">SUMPRODUCT(Kebutuhan_Bahan!$C$9:$D$9,Data!$D54:$E54)</f>
        <v>7905</v>
      </c>
      <c r="G54" s="50" t="n">
        <f aca="false">SUMPRODUCT(Kebutuhan_Bahan!$C$10:$D$10,Data!$D54:$E54)</f>
        <v>19560</v>
      </c>
      <c r="H54" s="51" t="n">
        <f aca="false">C54/$B54</f>
        <v>2419.35483870968</v>
      </c>
      <c r="I54" s="51" t="n">
        <f aca="false">D54/$B54</f>
        <v>1340.32258064516</v>
      </c>
      <c r="J54" s="51" t="n">
        <f aca="false">E54/$B54</f>
        <v>29.9677419354839</v>
      </c>
      <c r="K54" s="51" t="n">
        <f aca="false">F54/$B54</f>
        <v>255</v>
      </c>
      <c r="L54" s="51" t="n">
        <f aca="false">G54/$B54</f>
        <v>630.967741935484</v>
      </c>
    </row>
    <row r="55" customFormat="false" ht="15" hidden="false" customHeight="false" outlineLevel="0" collapsed="false">
      <c r="A55" s="22" t="n">
        <f aca="false">Data!B55</f>
        <v>45870</v>
      </c>
      <c r="B55" s="49" t="n">
        <f aca="false">Data!C55</f>
        <v>31</v>
      </c>
      <c r="C55" s="50" t="n">
        <f aca="false">SUMPRODUCT(Kebutuhan_Bahan!$C$6:$D$6,Data!$D55:$E55)</f>
        <v>63400</v>
      </c>
      <c r="D55" s="50" t="n">
        <f aca="false">SUMPRODUCT(Kebutuhan_Bahan!$C$7:$D$7,Data!$D55:$E55)</f>
        <v>37800</v>
      </c>
      <c r="E55" s="50" t="n">
        <f aca="false">SUMPRODUCT(Kebutuhan_Bahan!$C$8:$D$8,Data!$D55:$E55)</f>
        <v>821</v>
      </c>
      <c r="F55" s="50" t="n">
        <f aca="false">SUMPRODUCT(Kebutuhan_Bahan!$C$9:$D$9,Data!$D55:$E55)</f>
        <v>6950</v>
      </c>
      <c r="G55" s="50" t="n">
        <f aca="false">SUMPRODUCT(Kebutuhan_Bahan!$C$10:$D$10,Data!$D55:$E55)</f>
        <v>17070</v>
      </c>
      <c r="H55" s="51" t="n">
        <f aca="false">C55/$B55</f>
        <v>2045.16129032258</v>
      </c>
      <c r="I55" s="51" t="n">
        <f aca="false">D55/$B55</f>
        <v>1219.35483870968</v>
      </c>
      <c r="J55" s="51" t="n">
        <f aca="false">E55/$B55</f>
        <v>26.4838709677419</v>
      </c>
      <c r="K55" s="51" t="n">
        <f aca="false">F55/$B55</f>
        <v>224.193548387097</v>
      </c>
      <c r="L55" s="51" t="n">
        <f aca="false">G55/$B55</f>
        <v>550.645161290323</v>
      </c>
    </row>
    <row r="56" customFormat="false" ht="15" hidden="false" customHeight="false" outlineLevel="0" collapsed="false">
      <c r="A56" s="22" t="n">
        <f aca="false">Data!B56</f>
        <v>45901</v>
      </c>
      <c r="B56" s="49" t="n">
        <f aca="false">Data!C56</f>
        <v>30</v>
      </c>
      <c r="C56" s="50" t="n">
        <f aca="false">SUMPRODUCT(Kebutuhan_Bahan!$C$6:$D$6,Data!$D56:$E56)</f>
        <v>61200</v>
      </c>
      <c r="D56" s="50" t="n">
        <f aca="false">SUMPRODUCT(Kebutuhan_Bahan!$C$7:$D$7,Data!$D56:$E56)</f>
        <v>41700</v>
      </c>
      <c r="E56" s="50" t="n">
        <f aca="false">SUMPRODUCT(Kebutuhan_Bahan!$C$8:$D$8,Data!$D56:$E56)</f>
        <v>862</v>
      </c>
      <c r="F56" s="50" t="n">
        <f aca="false">SUMPRODUCT(Kebutuhan_Bahan!$C$9:$D$9,Data!$D56:$E56)</f>
        <v>7230</v>
      </c>
      <c r="G56" s="50" t="n">
        <f aca="false">SUMPRODUCT(Kebutuhan_Bahan!$C$10:$D$10,Data!$D56:$E56)</f>
        <v>17520</v>
      </c>
      <c r="H56" s="51" t="n">
        <f aca="false">C56/$B56</f>
        <v>2040</v>
      </c>
      <c r="I56" s="51" t="n">
        <f aca="false">D56/$B56</f>
        <v>1390</v>
      </c>
      <c r="J56" s="51" t="n">
        <f aca="false">E56/$B56</f>
        <v>28.7333333333333</v>
      </c>
      <c r="K56" s="51" t="n">
        <f aca="false">F56/$B56</f>
        <v>241</v>
      </c>
      <c r="L56" s="51" t="n">
        <f aca="false">G56/$B56</f>
        <v>584</v>
      </c>
    </row>
    <row r="57" customFormat="false" ht="15" hidden="false" customHeight="false" outlineLevel="0" collapsed="false">
      <c r="A57" s="22" t="n">
        <f aca="false">Data!B57</f>
        <v>45931</v>
      </c>
      <c r="B57" s="49" t="n">
        <f aca="false">Data!C57</f>
        <v>31</v>
      </c>
      <c r="C57" s="50" t="n">
        <f aca="false">SUMPRODUCT(Kebutuhan_Bahan!$C$6:$D$6,Data!$D57:$E57)</f>
        <v>57000</v>
      </c>
      <c r="D57" s="50" t="n">
        <f aca="false">SUMPRODUCT(Kebutuhan_Bahan!$C$7:$D$7,Data!$D57:$E57)</f>
        <v>41700</v>
      </c>
      <c r="E57" s="50" t="n">
        <f aca="false">SUMPRODUCT(Kebutuhan_Bahan!$C$8:$D$8,Data!$D57:$E57)</f>
        <v>841</v>
      </c>
      <c r="F57" s="50" t="n">
        <f aca="false">SUMPRODUCT(Kebutuhan_Bahan!$C$9:$D$9,Data!$D57:$E57)</f>
        <v>7020</v>
      </c>
      <c r="G57" s="50" t="n">
        <f aca="false">SUMPRODUCT(Kebutuhan_Bahan!$C$10:$D$10,Data!$D57:$E57)</f>
        <v>16890</v>
      </c>
      <c r="H57" s="51" t="n">
        <f aca="false">C57/$B57</f>
        <v>1838.70967741935</v>
      </c>
      <c r="I57" s="51" t="n">
        <f aca="false">D57/$B57</f>
        <v>1345.16129032258</v>
      </c>
      <c r="J57" s="51" t="n">
        <f aca="false">E57/$B57</f>
        <v>27.1290322580645</v>
      </c>
      <c r="K57" s="51" t="n">
        <f aca="false">F57/$B57</f>
        <v>226.451612903226</v>
      </c>
      <c r="L57" s="51" t="n">
        <f aca="false">G57/$B57</f>
        <v>544.838709677419</v>
      </c>
    </row>
    <row r="58" customFormat="false" ht="15" hidden="false" customHeight="false" outlineLevel="0" collapsed="false">
      <c r="A58" s="22" t="n">
        <f aca="false">Data!B58</f>
        <v>45962</v>
      </c>
      <c r="B58" s="49" t="n">
        <f aca="false">Data!C58</f>
        <v>30</v>
      </c>
      <c r="C58" s="50" t="n">
        <f aca="false">SUMPRODUCT(Kebutuhan_Bahan!$C$6:$D$6,Data!$D58:$E58)</f>
        <v>62200</v>
      </c>
      <c r="D58" s="50" t="n">
        <f aca="false">SUMPRODUCT(Kebutuhan_Bahan!$C$7:$D$7,Data!$D58:$E58)</f>
        <v>41700</v>
      </c>
      <c r="E58" s="50" t="n">
        <f aca="false">SUMPRODUCT(Kebutuhan_Bahan!$C$8:$D$8,Data!$D58:$E58)</f>
        <v>867</v>
      </c>
      <c r="F58" s="50" t="n">
        <f aca="false">SUMPRODUCT(Kebutuhan_Bahan!$C$9:$D$9,Data!$D58:$E58)</f>
        <v>7280</v>
      </c>
      <c r="G58" s="50" t="n">
        <f aca="false">SUMPRODUCT(Kebutuhan_Bahan!$C$10:$D$10,Data!$D58:$E58)</f>
        <v>17670</v>
      </c>
      <c r="H58" s="51" t="n">
        <f aca="false">C58/$B58</f>
        <v>2073.33333333333</v>
      </c>
      <c r="I58" s="51" t="n">
        <f aca="false">D58/$B58</f>
        <v>1390</v>
      </c>
      <c r="J58" s="51" t="n">
        <f aca="false">E58/$B58</f>
        <v>28.9</v>
      </c>
      <c r="K58" s="51" t="n">
        <f aca="false">F58/$B58</f>
        <v>242.666666666667</v>
      </c>
      <c r="L58" s="51" t="n">
        <f aca="false">G58/$B58</f>
        <v>589</v>
      </c>
    </row>
    <row r="59" customFormat="false" ht="15" hidden="false" customHeight="false" outlineLevel="0" collapsed="false">
      <c r="A59" s="22" t="n">
        <f aca="false">Data!B59</f>
        <v>45992</v>
      </c>
      <c r="B59" s="49" t="n">
        <f aca="false">Data!C59</f>
        <v>31</v>
      </c>
      <c r="C59" s="50" t="n">
        <f aca="false">SUMPRODUCT(Kebutuhan_Bahan!$C$6:$D$6,Data!$D59:$E59)</f>
        <v>72800</v>
      </c>
      <c r="D59" s="50" t="n">
        <f aca="false">SUMPRODUCT(Kebutuhan_Bahan!$C$7:$D$7,Data!$D59:$E59)</f>
        <v>54000</v>
      </c>
      <c r="E59" s="50" t="n">
        <f aca="false">SUMPRODUCT(Kebutuhan_Bahan!$C$8:$D$8,Data!$D59:$E59)</f>
        <v>1084</v>
      </c>
      <c r="F59" s="50" t="n">
        <f aca="false">SUMPRODUCT(Kebutuhan_Bahan!$C$9:$D$9,Data!$D59:$E59)</f>
        <v>9040</v>
      </c>
      <c r="G59" s="50" t="n">
        <f aca="false">SUMPRODUCT(Kebutuhan_Bahan!$C$10:$D$10,Data!$D59:$E59)</f>
        <v>21720</v>
      </c>
      <c r="H59" s="51" t="n">
        <f aca="false">C59/$B59</f>
        <v>2348.38709677419</v>
      </c>
      <c r="I59" s="51" t="n">
        <f aca="false">D59/$B59</f>
        <v>1741.93548387097</v>
      </c>
      <c r="J59" s="51" t="n">
        <f aca="false">E59/$B59</f>
        <v>34.9677419354839</v>
      </c>
      <c r="K59" s="51" t="n">
        <f aca="false">F59/$B59</f>
        <v>291.612903225806</v>
      </c>
      <c r="L59" s="51" t="n">
        <f aca="false">G59/$B59</f>
        <v>700.645161290323</v>
      </c>
    </row>
    <row r="60" customFormat="false" ht="15" hidden="false" customHeight="false" outlineLevel="0" collapsed="false">
      <c r="A60" s="22" t="n">
        <f aca="false">Data!B60</f>
        <v>46023</v>
      </c>
      <c r="B60" s="49" t="n">
        <f aca="false">Data!C60</f>
        <v>31</v>
      </c>
      <c r="C60" s="50" t="n">
        <f aca="false">SUMPRODUCT(Kebutuhan_Bahan!$C$6:$D$6,Data!$D60:$E60)</f>
        <v>68600</v>
      </c>
      <c r="D60" s="50" t="n">
        <f aca="false">SUMPRODUCT(Kebutuhan_Bahan!$C$7:$D$7,Data!$D60:$E60)</f>
        <v>42300</v>
      </c>
      <c r="E60" s="50" t="n">
        <f aca="false">SUMPRODUCT(Kebutuhan_Bahan!$C$8:$D$8,Data!$D60:$E60)</f>
        <v>907</v>
      </c>
      <c r="F60" s="50" t="n">
        <f aca="false">SUMPRODUCT(Kebutuhan_Bahan!$C$9:$D$9,Data!$D60:$E60)</f>
        <v>7660</v>
      </c>
      <c r="G60" s="50" t="n">
        <f aca="false">SUMPRODUCT(Kebutuhan_Bahan!$C$10:$D$10,Data!$D60:$E60)</f>
        <v>18750</v>
      </c>
      <c r="H60" s="51" t="n">
        <f aca="false">C60/$B60</f>
        <v>2212.90322580645</v>
      </c>
      <c r="I60" s="51" t="n">
        <f aca="false">D60/$B60</f>
        <v>1364.51612903226</v>
      </c>
      <c r="J60" s="51" t="n">
        <f aca="false">E60/$B60</f>
        <v>29.258064516129</v>
      </c>
      <c r="K60" s="51" t="n">
        <f aca="false">F60/$B60</f>
        <v>247.096774193548</v>
      </c>
      <c r="L60" s="51" t="n">
        <f aca="false">G60/$B60</f>
        <v>604.838709677419</v>
      </c>
    </row>
    <row r="61" customFormat="false" ht="15" hidden="false" customHeight="false" outlineLevel="0" collapsed="false">
      <c r="A61" s="22" t="n">
        <f aca="false">Data!B61</f>
        <v>46054</v>
      </c>
      <c r="B61" s="49" t="n">
        <f aca="false">Data!C61</f>
        <v>28</v>
      </c>
      <c r="C61" s="50" t="n">
        <f aca="false">SUMPRODUCT(Kebutuhan_Bahan!$C$6:$D$6,Data!$D61:$E61)</f>
        <v>67200</v>
      </c>
      <c r="D61" s="50" t="n">
        <f aca="false">SUMPRODUCT(Kebutuhan_Bahan!$C$7:$D$7,Data!$D61:$E61)</f>
        <v>46050</v>
      </c>
      <c r="E61" s="50" t="n">
        <f aca="false">SUMPRODUCT(Kebutuhan_Bahan!$C$8:$D$8,Data!$D61:$E61)</f>
        <v>950</v>
      </c>
      <c r="F61" s="50" t="n">
        <f aca="false">SUMPRODUCT(Kebutuhan_Bahan!$C$9:$D$9,Data!$D61:$E61)</f>
        <v>7965</v>
      </c>
      <c r="G61" s="50" t="n">
        <f aca="false">SUMPRODUCT(Kebutuhan_Bahan!$C$10:$D$10,Data!$D61:$E61)</f>
        <v>19290</v>
      </c>
      <c r="H61" s="51" t="n">
        <f aca="false">C61/$B61</f>
        <v>2400</v>
      </c>
      <c r="I61" s="51" t="n">
        <f aca="false">D61/$B61</f>
        <v>1644.64285714286</v>
      </c>
      <c r="J61" s="51" t="n">
        <f aca="false">E61/$B61</f>
        <v>33.9285714285714</v>
      </c>
      <c r="K61" s="51" t="n">
        <f aca="false">F61/$B61</f>
        <v>284.464285714286</v>
      </c>
      <c r="L61" s="51" t="n">
        <f aca="false">G61/$B61</f>
        <v>688.928571428571</v>
      </c>
    </row>
    <row r="62" customFormat="false" ht="15" hidden="false" customHeight="false" outlineLevel="0" collapsed="false">
      <c r="A62" s="22" t="n">
        <f aca="false">Data!B62</f>
        <v>46082</v>
      </c>
      <c r="B62" s="49" t="n">
        <f aca="false">Data!C62</f>
        <v>31</v>
      </c>
      <c r="C62" s="50" t="n">
        <f aca="false">SUMPRODUCT(Kebutuhan_Bahan!$C$6:$D$6,Data!$D62:$E62)</f>
        <v>81000</v>
      </c>
      <c r="D62" s="50" t="n">
        <f aca="false">SUMPRODUCT(Kebutuhan_Bahan!$C$7:$D$7,Data!$D62:$E62)</f>
        <v>54300</v>
      </c>
      <c r="E62" s="50" t="n">
        <f aca="false">SUMPRODUCT(Kebutuhan_Bahan!$C$8:$D$8,Data!$D62:$E62)</f>
        <v>1129</v>
      </c>
      <c r="F62" s="50" t="n">
        <f aca="false">SUMPRODUCT(Kebutuhan_Bahan!$C$9:$D$9,Data!$D62:$E62)</f>
        <v>9480</v>
      </c>
      <c r="G62" s="50" t="n">
        <f aca="false">SUMPRODUCT(Kebutuhan_Bahan!$C$10:$D$10,Data!$D62:$E62)</f>
        <v>23010</v>
      </c>
      <c r="H62" s="51" t="n">
        <f aca="false">C62/$B62</f>
        <v>2612.90322580645</v>
      </c>
      <c r="I62" s="51" t="n">
        <f aca="false">D62/$B62</f>
        <v>1751.61290322581</v>
      </c>
      <c r="J62" s="51" t="n">
        <f aca="false">E62/$B62</f>
        <v>36.4193548387097</v>
      </c>
      <c r="K62" s="51" t="n">
        <f aca="false">F62/$B62</f>
        <v>305.806451612903</v>
      </c>
      <c r="L62" s="51" t="n">
        <f aca="false">G62/$B62</f>
        <v>742.258064516129</v>
      </c>
    </row>
    <row r="63" customFormat="false" ht="15" hidden="false" customHeight="false" outlineLevel="0" collapsed="false">
      <c r="A63" s="22" t="n">
        <f aca="false">Data!B63</f>
        <v>46113</v>
      </c>
      <c r="B63" s="49" t="n">
        <f aca="false">Data!C63</f>
        <v>30</v>
      </c>
      <c r="C63" s="50" t="n">
        <f aca="false">SUMPRODUCT(Kebutuhan_Bahan!$C$6:$D$6,Data!$D63:$E63)</f>
        <v>64400</v>
      </c>
      <c r="D63" s="50" t="n">
        <f aca="false">SUMPRODUCT(Kebutuhan_Bahan!$C$7:$D$7,Data!$D63:$E63)</f>
        <v>40500</v>
      </c>
      <c r="E63" s="50" t="n">
        <f aca="false">SUMPRODUCT(Kebutuhan_Bahan!$C$8:$D$8,Data!$D63:$E63)</f>
        <v>862</v>
      </c>
      <c r="F63" s="50" t="n">
        <f aca="false">SUMPRODUCT(Kebutuhan_Bahan!$C$9:$D$9,Data!$D63:$E63)</f>
        <v>7270</v>
      </c>
      <c r="G63" s="50" t="n">
        <f aca="false">SUMPRODUCT(Kebutuhan_Bahan!$C$10:$D$10,Data!$D63:$E63)</f>
        <v>17760</v>
      </c>
      <c r="H63" s="51" t="n">
        <f aca="false">C63/$B63</f>
        <v>2146.66666666667</v>
      </c>
      <c r="I63" s="51" t="n">
        <f aca="false">D63/$B63</f>
        <v>1350</v>
      </c>
      <c r="J63" s="51" t="n">
        <f aca="false">E63/$B63</f>
        <v>28.7333333333333</v>
      </c>
      <c r="K63" s="51" t="n">
        <f aca="false">F63/$B63</f>
        <v>242.333333333333</v>
      </c>
      <c r="L63" s="51" t="n">
        <f aca="false">G63/$B63</f>
        <v>592</v>
      </c>
    </row>
    <row r="64" customFormat="false" ht="15" hidden="false" customHeight="false" outlineLevel="0" collapsed="false">
      <c r="A64" s="22" t="n">
        <f aca="false">Data!B64</f>
        <v>46143</v>
      </c>
      <c r="B64" s="49" t="n">
        <f aca="false">Data!C64</f>
        <v>31</v>
      </c>
      <c r="C64" s="50" t="n">
        <f aca="false">SUMPRODUCT(Kebutuhan_Bahan!$C$6:$D$6,Data!$D64:$E64)</f>
        <v>59000</v>
      </c>
      <c r="D64" s="50" t="n">
        <f aca="false">SUMPRODUCT(Kebutuhan_Bahan!$C$7:$D$7,Data!$D64:$E64)</f>
        <v>44100</v>
      </c>
      <c r="E64" s="50" t="n">
        <f aca="false">SUMPRODUCT(Kebutuhan_Bahan!$C$8:$D$8,Data!$D64:$E64)</f>
        <v>883</v>
      </c>
      <c r="F64" s="50" t="n">
        <f aca="false">SUMPRODUCT(Kebutuhan_Bahan!$C$9:$D$9,Data!$D64:$E64)</f>
        <v>7360</v>
      </c>
      <c r="G64" s="50" t="n">
        <f aca="false">SUMPRODUCT(Kebutuhan_Bahan!$C$10:$D$10,Data!$D64:$E64)</f>
        <v>17670</v>
      </c>
      <c r="H64" s="51" t="n">
        <f aca="false">C64/$B64</f>
        <v>1903.22580645161</v>
      </c>
      <c r="I64" s="51" t="n">
        <f aca="false">D64/$B64</f>
        <v>1422.58064516129</v>
      </c>
      <c r="J64" s="51" t="n">
        <f aca="false">E64/$B64</f>
        <v>28.4838709677419</v>
      </c>
      <c r="K64" s="51" t="n">
        <f aca="false">F64/$B64</f>
        <v>237.41935483871</v>
      </c>
      <c r="L64" s="51" t="n">
        <f aca="false">G64/$B64</f>
        <v>570</v>
      </c>
    </row>
    <row r="66" customFormat="false" ht="15" hidden="false" customHeight="false" outlineLevel="0" collapsed="false">
      <c r="A66" s="11" t="s">
        <v>164</v>
      </c>
      <c r="H66" s="52" t="n">
        <f aca="false">MAX(H5:H64)</f>
        <v>2612.90322580645</v>
      </c>
      <c r="I66" s="52" t="n">
        <f aca="false">MAX(I5:I64)</f>
        <v>1751.61290322581</v>
      </c>
      <c r="J66" s="52" t="n">
        <f aca="false">MAX(J5:J64)</f>
        <v>36.4193548387097</v>
      </c>
      <c r="K66" s="52" t="n">
        <f aca="false">MAX(K5:K64)</f>
        <v>305.806451612903</v>
      </c>
      <c r="L66" s="52" t="n">
        <f aca="false">MAX(L5:L64)</f>
        <v>742.258064516129</v>
      </c>
    </row>
    <row r="67" customFormat="false" ht="15" hidden="false" customHeight="false" outlineLevel="0" collapsed="false">
      <c r="A67" s="11" t="s">
        <v>165</v>
      </c>
      <c r="H67" s="29" t="n">
        <f aca="false">INDEX($A$5:$A$64,MATCH(H66,H5:H64,0))</f>
        <v>46082</v>
      </c>
      <c r="I67" s="29" t="n">
        <f aca="false">INDEX($A$5:$A$64,MATCH(I66,I5:I64,0))</f>
        <v>46082</v>
      </c>
      <c r="J67" s="29" t="n">
        <f aca="false">INDEX($A$5:$A$64,MATCH(J66,J5:J64,0))</f>
        <v>46082</v>
      </c>
      <c r="K67" s="29" t="n">
        <f aca="false">INDEX($A$5:$A$64,MATCH(K66,K5:K64,0))</f>
        <v>46082</v>
      </c>
      <c r="L67" s="29" t="n">
        <f aca="false">INDEX($A$5:$A$64,MATCH(L66,L5:L64,0))</f>
        <v>46082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3" min="12" style="0" width="18"/>
  </cols>
  <sheetData>
    <row r="1" customFormat="false" ht="16.15" hidden="false" customHeight="false" outlineLevel="0" collapsed="false">
      <c r="A1" s="5" t="s">
        <v>166</v>
      </c>
    </row>
    <row r="2" customFormat="false" ht="15" hidden="false" customHeight="false" outlineLevel="0" collapsed="false">
      <c r="A2" s="44" t="s">
        <v>167</v>
      </c>
    </row>
    <row r="5" customFormat="false" ht="45" hidden="false" customHeight="true" outlineLevel="0" collapsed="false">
      <c r="A5" s="7" t="s">
        <v>148</v>
      </c>
      <c r="B5" s="7" t="s">
        <v>168</v>
      </c>
      <c r="C5" s="7" t="s">
        <v>169</v>
      </c>
      <c r="D5" s="7" t="s">
        <v>170</v>
      </c>
      <c r="E5" s="7" t="s">
        <v>171</v>
      </c>
      <c r="F5" s="7" t="s">
        <v>172</v>
      </c>
      <c r="G5" s="7" t="s">
        <v>173</v>
      </c>
      <c r="H5" s="7" t="s">
        <v>174</v>
      </c>
      <c r="I5" s="7" t="s">
        <v>175</v>
      </c>
      <c r="J5" s="7" t="s">
        <v>176</v>
      </c>
      <c r="K5" s="7" t="s">
        <v>177</v>
      </c>
      <c r="L5" s="7" t="s">
        <v>178</v>
      </c>
      <c r="M5" s="7" t="s">
        <v>179</v>
      </c>
    </row>
    <row r="6" customFormat="false" ht="15" hidden="false" customHeight="false" outlineLevel="0" collapsed="false">
      <c r="A6" s="53" t="str">
        <f aca="false">Kebutuhan_Bahan!A6</f>
        <v>Beras</v>
      </c>
      <c r="B6" s="53" t="str">
        <f aca="false">Kebutuhan_Bahan!B6</f>
        <v>g</v>
      </c>
      <c r="C6" s="54" t="n">
        <f aca="false">Kebutuhan_Bahan!E6</f>
        <v>68224.9993174056</v>
      </c>
      <c r="D6" s="49" t="n">
        <f aca="false">Prediksi_Periode!$B$5</f>
        <v>30</v>
      </c>
      <c r="E6" s="51" t="n">
        <f aca="false">C6/D6</f>
        <v>2274.16664391352</v>
      </c>
      <c r="F6" s="55" t="n">
        <f aca="false">Riwayat_Bahan!H66</f>
        <v>2612.90322580645</v>
      </c>
      <c r="G6" s="56" t="n">
        <v>2</v>
      </c>
      <c r="H6" s="57" t="n">
        <f aca="false">(F6-E6)*G6</f>
        <v>677.473163785861</v>
      </c>
      <c r="I6" s="43" t="n">
        <f aca="false">E6*G6+H6</f>
        <v>5225.8064516129</v>
      </c>
      <c r="J6" s="58" t="n">
        <v>9000</v>
      </c>
      <c r="K6" s="36" t="str">
        <f aca="false">IF(J6&lt;=I6,"RESTOCK","Aman")</f>
        <v>Aman</v>
      </c>
      <c r="L6" s="43" t="n">
        <f aca="false">IF(K6="RESTOCK",MAX(0,C6-J6),0)</f>
        <v>0</v>
      </c>
      <c r="M6" s="34" t="str">
        <f aca="false">IF(H6&lt;0,"SS negatif - cek","OK")</f>
        <v>OK</v>
      </c>
    </row>
    <row r="7" customFormat="false" ht="15" hidden="false" customHeight="false" outlineLevel="0" collapsed="false">
      <c r="A7" s="53" t="str">
        <f aca="false">Kebutuhan_Bahan!A7</f>
        <v>Mie basah</v>
      </c>
      <c r="B7" s="53" t="str">
        <f aca="false">Kebutuhan_Bahan!B7</f>
        <v>g</v>
      </c>
      <c r="C7" s="54" t="n">
        <f aca="false">Kebutuhan_Bahan!E7</f>
        <v>39917.7290585282</v>
      </c>
      <c r="D7" s="49" t="n">
        <f aca="false">Prediksi_Periode!$B$5</f>
        <v>30</v>
      </c>
      <c r="E7" s="51" t="n">
        <f aca="false">C7/D7</f>
        <v>1330.59096861761</v>
      </c>
      <c r="F7" s="55" t="n">
        <f aca="false">Riwayat_Bahan!I66</f>
        <v>1751.61290322581</v>
      </c>
      <c r="G7" s="56" t="n">
        <v>1</v>
      </c>
      <c r="H7" s="57" t="n">
        <f aca="false">(F7-E7)*G7</f>
        <v>421.021934608199</v>
      </c>
      <c r="I7" s="43" t="n">
        <f aca="false">E7*G7+H7</f>
        <v>1751.61290322581</v>
      </c>
      <c r="J7" s="58" t="n">
        <v>1200</v>
      </c>
      <c r="K7" s="36" t="str">
        <f aca="false">IF(J7&lt;=I7,"RESTOCK","Aman")</f>
        <v>RESTOCK</v>
      </c>
      <c r="L7" s="43" t="n">
        <f aca="false">IF(K7="RESTOCK",MAX(0,C7-J7),0)</f>
        <v>38717.7290585282</v>
      </c>
      <c r="M7" s="34" t="str">
        <f aca="false">IF(H7&lt;0,"SS negatif - cek","OK")</f>
        <v>OK</v>
      </c>
    </row>
    <row r="8" customFormat="false" ht="15" hidden="false" customHeight="false" outlineLevel="0" collapsed="false">
      <c r="A8" s="53" t="str">
        <f aca="false">Kebutuhan_Bahan!A8</f>
        <v>Telur</v>
      </c>
      <c r="B8" s="53" t="str">
        <f aca="false">Kebutuhan_Bahan!B8</f>
        <v>pcs</v>
      </c>
      <c r="C8" s="54" t="n">
        <f aca="false">Kebutuhan_Bahan!E8</f>
        <v>873.361384034071</v>
      </c>
      <c r="D8" s="49" t="n">
        <f aca="false">Prediksi_Periode!$B$5</f>
        <v>30</v>
      </c>
      <c r="E8" s="51" t="n">
        <f aca="false">C8/D8</f>
        <v>29.112046134469</v>
      </c>
      <c r="F8" s="55" t="n">
        <f aca="false">Riwayat_Bahan!J66</f>
        <v>36.4193548387097</v>
      </c>
      <c r="G8" s="56" t="n">
        <v>1</v>
      </c>
      <c r="H8" s="57" t="n">
        <f aca="false">(F8-E8)*G8</f>
        <v>7.30730870424064</v>
      </c>
      <c r="I8" s="43" t="n">
        <f aca="false">E8*G8+H8</f>
        <v>36.4193548387097</v>
      </c>
      <c r="J8" s="58" t="n">
        <v>30</v>
      </c>
      <c r="K8" s="36" t="str">
        <f aca="false">IF(J8&lt;=I8,"RESTOCK","Aman")</f>
        <v>RESTOCK</v>
      </c>
      <c r="L8" s="43" t="n">
        <f aca="false">IF(K8="RESTOCK",MAX(0,C8-J8),0)</f>
        <v>843.361384034071</v>
      </c>
      <c r="M8" s="34" t="str">
        <f aca="false">IF(H8&lt;0,"SS negatif - cek","OK")</f>
        <v>OK</v>
      </c>
    </row>
    <row r="9" customFormat="false" ht="15" hidden="false" customHeight="false" outlineLevel="0" collapsed="false">
      <c r="A9" s="53" t="str">
        <f aca="false">Kebutuhan_Bahan!A9</f>
        <v>Minyak goreng</v>
      </c>
      <c r="B9" s="53" t="str">
        <f aca="false">Kebutuhan_Bahan!B9</f>
        <v>ml</v>
      </c>
      <c r="C9" s="54" t="n">
        <f aca="false">Kebutuhan_Bahan!E9</f>
        <v>7403.0228717231</v>
      </c>
      <c r="D9" s="49" t="n">
        <f aca="false">Prediksi_Periode!$B$5</f>
        <v>30</v>
      </c>
      <c r="E9" s="51" t="n">
        <f aca="false">C9/D9</f>
        <v>246.767429057437</v>
      </c>
      <c r="F9" s="55" t="n">
        <f aca="false">Riwayat_Bahan!K66</f>
        <v>305.806451612903</v>
      </c>
      <c r="G9" s="56" t="n">
        <v>2</v>
      </c>
      <c r="H9" s="57" t="n">
        <f aca="false">(F9-E9)*G9</f>
        <v>118.078045110933</v>
      </c>
      <c r="I9" s="43" t="n">
        <f aca="false">E9*G9+H9</f>
        <v>611.612903225807</v>
      </c>
      <c r="J9" s="58" t="n">
        <v>900</v>
      </c>
      <c r="K9" s="36" t="str">
        <f aca="false">IF(J9&lt;=I9,"RESTOCK","Aman")</f>
        <v>Aman</v>
      </c>
      <c r="L9" s="43" t="n">
        <f aca="false">IF(K9="RESTOCK",MAX(0,C9-J9),0)</f>
        <v>0</v>
      </c>
      <c r="M9" s="34" t="str">
        <f aca="false">IF(H9&lt;0,"SS negatif - cek","OK")</f>
        <v>OK</v>
      </c>
    </row>
    <row r="10" customFormat="false" ht="15" hidden="false" customHeight="false" outlineLevel="0" collapsed="false">
      <c r="A10" s="53" t="str">
        <f aca="false">Kebutuhan_Bahan!A10</f>
        <v>Ayam suwir</v>
      </c>
      <c r="B10" s="53" t="str">
        <f aca="false">Kebutuhan_Bahan!B10</f>
        <v>g</v>
      </c>
      <c r="C10" s="54" t="n">
        <f aca="false">Kebutuhan_Bahan!E10</f>
        <v>18217.2957093165</v>
      </c>
      <c r="D10" s="49" t="n">
        <f aca="false">Prediksi_Periode!$B$5</f>
        <v>30</v>
      </c>
      <c r="E10" s="51" t="n">
        <f aca="false">C10/D10</f>
        <v>607.24319031055</v>
      </c>
      <c r="F10" s="55" t="n">
        <f aca="false">Riwayat_Bahan!L66</f>
        <v>742.258064516129</v>
      </c>
      <c r="G10" s="56" t="n">
        <v>1</v>
      </c>
      <c r="H10" s="57" t="n">
        <f aca="false">(F10-E10)*G10</f>
        <v>135.014874205579</v>
      </c>
      <c r="I10" s="43" t="n">
        <f aca="false">E10*G10+H10</f>
        <v>742.258064516129</v>
      </c>
      <c r="J10" s="58" t="n">
        <v>500</v>
      </c>
      <c r="K10" s="36" t="str">
        <f aca="false">IF(J10&lt;=I10,"RESTOCK","Aman")</f>
        <v>RESTOCK</v>
      </c>
      <c r="L10" s="43" t="n">
        <f aca="false">IF(K10="RESTOCK",MAX(0,C10-J10),0)</f>
        <v>17717.2957093165</v>
      </c>
      <c r="M10" s="34" t="str">
        <f aca="false">IF(H10&lt;0,"SS negatif - cek","OK")</f>
        <v>OK</v>
      </c>
    </row>
    <row r="12" customFormat="false" ht="15" hidden="false" customHeight="false" outlineLevel="0" collapsed="false">
      <c r="A12" s="6" t="s">
        <v>180</v>
      </c>
    </row>
    <row r="13" customFormat="false" ht="15" hidden="false" customHeight="false" outlineLevel="0" collapsed="false">
      <c r="A13" s="6" t="s">
        <v>181</v>
      </c>
    </row>
    <row r="14" customFormat="false" ht="15" hidden="false" customHeight="false" outlineLevel="0" collapsed="false">
      <c r="A14" s="6" t="s">
        <v>182</v>
      </c>
    </row>
    <row r="15" customFormat="false" ht="15" hidden="false" customHeight="false" outlineLevel="0" collapsed="false">
      <c r="A15" s="6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2026-09-28T07:59:08Z</dcterms:created>
  <dc:creator>openpyxl</dc:creator>
  <dc:description/>
  <dc:language>en-US</dc:language>
  <cp:lastModifiedBy/>
  <dcterms:modified xsi:type="dcterms:W3CDTF">2026-09-28T07:59:08Z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